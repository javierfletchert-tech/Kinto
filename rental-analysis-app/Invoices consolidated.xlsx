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etchj\VS Studio\rental-analysis-app\"/>
    </mc:Choice>
  </mc:AlternateContent>
  <xr:revisionPtr revIDLastSave="0" documentId="13_ncr:1_{19332C98-B4F4-4331-B454-88E39A2D878E}" xr6:coauthVersionLast="47" xr6:coauthVersionMax="47" xr10:uidLastSave="{00000000-0000-0000-0000-000000000000}"/>
  <bookViews>
    <workbookView xWindow="-24630" yWindow="-21720" windowWidth="38640" windowHeight="21120" xr2:uid="{3ED107D1-D873-4141-8248-895E32D05839}"/>
  </bookViews>
  <sheets>
    <sheet name="Invoices" sheetId="1" r:id="rId1"/>
    <sheet name="Categories" sheetId="2" r:id="rId2"/>
  </sheets>
  <definedNames>
    <definedName name="_xlnm._FilterDatabase" localSheetId="0" hidden="1">Invoices!$H$1:$T$138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2" i="1"/>
  <c r="P51" i="1"/>
  <c r="M51" i="1"/>
  <c r="P50" i="1"/>
  <c r="M50" i="1"/>
  <c r="P49" i="1"/>
  <c r="M49" i="1"/>
  <c r="P48" i="1"/>
  <c r="M48" i="1"/>
  <c r="P47" i="1"/>
  <c r="M47" i="1"/>
  <c r="P46" i="1"/>
  <c r="M46" i="1"/>
  <c r="P45" i="1"/>
  <c r="M45" i="1"/>
  <c r="P44" i="1"/>
  <c r="M44" i="1"/>
  <c r="P43" i="1"/>
  <c r="M43" i="1"/>
  <c r="P42" i="1"/>
  <c r="M42" i="1"/>
  <c r="P41" i="1"/>
  <c r="M41" i="1"/>
  <c r="P40" i="1"/>
  <c r="M40" i="1"/>
  <c r="P39" i="1"/>
  <c r="M39" i="1"/>
  <c r="P38" i="1"/>
  <c r="M38" i="1"/>
  <c r="P37" i="1"/>
  <c r="M37" i="1"/>
  <c r="P36" i="1"/>
  <c r="M36" i="1"/>
  <c r="P35" i="1"/>
  <c r="M35" i="1"/>
  <c r="P34" i="1"/>
  <c r="M34" i="1"/>
  <c r="P33" i="1"/>
  <c r="M33" i="1"/>
  <c r="P32" i="1"/>
  <c r="M32" i="1"/>
  <c r="P31" i="1"/>
  <c r="M31" i="1"/>
  <c r="P30" i="1"/>
  <c r="M30" i="1"/>
  <c r="P29" i="1"/>
  <c r="M29" i="1"/>
  <c r="P28" i="1"/>
  <c r="M28" i="1"/>
  <c r="P27" i="1"/>
  <c r="M27" i="1"/>
  <c r="P26" i="1"/>
  <c r="M26" i="1"/>
  <c r="P25" i="1"/>
  <c r="M25" i="1"/>
  <c r="Q20" i="1"/>
  <c r="P20" i="1"/>
  <c r="M20" i="1"/>
  <c r="Q19" i="1"/>
  <c r="P19" i="1"/>
  <c r="M19" i="1"/>
  <c r="Q15" i="1"/>
  <c r="P15" i="1"/>
  <c r="M15" i="1"/>
  <c r="Q14" i="1"/>
  <c r="P14" i="1"/>
  <c r="M14" i="1"/>
  <c r="Q13" i="1"/>
  <c r="P13" i="1"/>
  <c r="M13" i="1"/>
  <c r="Q12" i="1"/>
  <c r="P12" i="1"/>
  <c r="M12" i="1"/>
  <c r="Q11" i="1"/>
  <c r="P11" i="1"/>
  <c r="M11" i="1"/>
  <c r="Q10" i="1"/>
  <c r="P10" i="1"/>
  <c r="M10" i="1"/>
  <c r="Q9" i="1"/>
  <c r="P9" i="1"/>
  <c r="M9" i="1"/>
  <c r="Q8" i="1"/>
  <c r="P8" i="1"/>
  <c r="J8" i="1"/>
  <c r="M8" i="1" s="1"/>
  <c r="Q7" i="1"/>
  <c r="P7" i="1"/>
  <c r="M7" i="1"/>
  <c r="Q6" i="1"/>
  <c r="P6" i="1"/>
  <c r="M6" i="1"/>
  <c r="P5" i="1"/>
  <c r="J5" i="1"/>
  <c r="M5" i="1" s="1"/>
  <c r="P4" i="1"/>
  <c r="M4" i="1"/>
  <c r="P3" i="1"/>
  <c r="M3" i="1"/>
  <c r="M2" i="1"/>
  <c r="P2" i="1"/>
  <c r="R45" i="1" l="1"/>
  <c r="R8" i="1"/>
  <c r="R50" i="1"/>
  <c r="R2" i="1"/>
  <c r="R9" i="1"/>
  <c r="R46" i="1"/>
  <c r="R51" i="1"/>
  <c r="R11" i="1"/>
  <c r="R47" i="1"/>
  <c r="R48" i="1"/>
  <c r="R49" i="1"/>
  <c r="R20" i="1"/>
  <c r="R37" i="1"/>
  <c r="R34" i="1"/>
  <c r="R36" i="1"/>
  <c r="R39" i="1"/>
  <c r="R19" i="1"/>
  <c r="R44" i="1"/>
  <c r="R32" i="1"/>
  <c r="R42" i="1"/>
  <c r="R27" i="1"/>
  <c r="R28" i="1"/>
  <c r="R10" i="1"/>
  <c r="R35" i="1"/>
  <c r="R3" i="1"/>
  <c r="R12" i="1"/>
  <c r="R6" i="1"/>
  <c r="R38" i="1"/>
  <c r="R29" i="1"/>
  <c r="R7" i="1"/>
  <c r="R14" i="1"/>
  <c r="R30" i="1"/>
  <c r="R40" i="1"/>
  <c r="R15" i="1"/>
  <c r="R41" i="1"/>
  <c r="R33" i="1"/>
  <c r="R25" i="1"/>
  <c r="R26" i="1"/>
  <c r="R13" i="1"/>
  <c r="R31" i="1"/>
  <c r="R5" i="1"/>
  <c r="R4" i="1"/>
</calcChain>
</file>

<file path=xl/sharedStrings.xml><?xml version="1.0" encoding="utf-8"?>
<sst xmlns="http://schemas.openxmlformats.org/spreadsheetml/2006/main" count="694" uniqueCount="116">
  <si>
    <t>NO TAX</t>
  </si>
  <si>
    <t>GST portion for repairs</t>
  </si>
  <si>
    <t>Vehicle</t>
  </si>
  <si>
    <t>total</t>
  </si>
  <si>
    <t>tax type</t>
  </si>
  <si>
    <t>Total Tax</t>
  </si>
  <si>
    <t>PST</t>
  </si>
  <si>
    <t>GST</t>
  </si>
  <si>
    <t>Net for SAP</t>
  </si>
  <si>
    <t>Less Insurance</t>
  </si>
  <si>
    <t>Parts</t>
  </si>
  <si>
    <t>Misc</t>
  </si>
  <si>
    <t>Labor</t>
  </si>
  <si>
    <t>Work description</t>
  </si>
  <si>
    <t>Invoice #</t>
  </si>
  <si>
    <t>Dealer Code</t>
  </si>
  <si>
    <t>Dealer Name</t>
  </si>
  <si>
    <t>Date of submission</t>
  </si>
  <si>
    <t>Wheel cover replacement</t>
  </si>
  <si>
    <t>GST + PST</t>
  </si>
  <si>
    <t>Brakes repair</t>
  </si>
  <si>
    <t>Body shop</t>
  </si>
  <si>
    <t>No TAX</t>
  </si>
  <si>
    <t>SAP#</t>
  </si>
  <si>
    <t>Rim repair &amp; alignment</t>
  </si>
  <si>
    <t>Window Bezel Replacement </t>
  </si>
  <si>
    <t>Hydrogen refuel</t>
  </si>
  <si>
    <t>Mirai</t>
  </si>
  <si>
    <t>Windshield replacement</t>
  </si>
  <si>
    <t> 3600270769</t>
  </si>
  <si>
    <t>deductible portion plus GST</t>
  </si>
  <si>
    <t>Hubcap replacement</t>
  </si>
  <si>
    <t>Extra cleaning &amp; recharge</t>
  </si>
  <si>
    <t>Tire replacement</t>
  </si>
  <si>
    <t>Cable replacement &amp; Recharge</t>
  </si>
  <si>
    <t>CVI</t>
  </si>
  <si>
    <t>Recharge</t>
  </si>
  <si>
    <t>Wiper replacement</t>
  </si>
  <si>
    <t>CVI &amp; Rotors service</t>
  </si>
  <si>
    <t>Parts RO</t>
  </si>
  <si>
    <t>Mirai Fuel</t>
  </si>
  <si>
    <t>08438</t>
  </si>
  <si>
    <t>Service &amp; Tire replacement</t>
  </si>
  <si>
    <t>Windshield Replacement</t>
  </si>
  <si>
    <t>Repair GST payable</t>
  </si>
  <si>
    <t>GST only</t>
  </si>
  <si>
    <t>Tire replacement (flat tire)</t>
  </si>
  <si>
    <t>Towing</t>
  </si>
  <si>
    <t>5VIN</t>
  </si>
  <si>
    <t>bZ repair</t>
  </si>
  <si>
    <t>bZ</t>
  </si>
  <si>
    <t>GST DEDUCTIBLE</t>
  </si>
  <si>
    <t>No Tax</t>
  </si>
  <si>
    <t>Mirai repair (damaged by influencer)</t>
  </si>
  <si>
    <t>bZ Repair (windshield)</t>
  </si>
  <si>
    <t>Credit for #378746</t>
  </si>
  <si>
    <t> </t>
  </si>
  <si>
    <t>Condition (Brake)</t>
  </si>
  <si>
    <t>4 tires swap</t>
  </si>
  <si>
    <t>towing &amp; recharge</t>
  </si>
  <si>
    <t>Rear end colision</t>
  </si>
  <si>
    <t>NA</t>
  </si>
  <si>
    <t>service and recharge</t>
  </si>
  <si>
    <t>no tax</t>
  </si>
  <si>
    <t>Body shop Repairs</t>
  </si>
  <si>
    <t>kinto recharge</t>
  </si>
  <si>
    <t>kinto refueling</t>
  </si>
  <si>
    <t>OTA Key Install</t>
  </si>
  <si>
    <t>GST recoverable</t>
  </si>
  <si>
    <t>HW removal</t>
  </si>
  <si>
    <t>Service</t>
  </si>
  <si>
    <t>tire puncture</t>
  </si>
  <si>
    <t>Kelowna</t>
  </si>
  <si>
    <t>Mirai tire</t>
  </si>
  <si>
    <t xml:space="preserve">Mirai Shipping </t>
  </si>
  <si>
    <t>HST</t>
  </si>
  <si>
    <t>Battery Replacement</t>
  </si>
  <si>
    <t xml:space="preserve">Mirai </t>
  </si>
  <si>
    <t>Battery replacement</t>
  </si>
  <si>
    <t>Mirai refuel fee</t>
  </si>
  <si>
    <t>Tire Replacement</t>
  </si>
  <si>
    <t>Insurance claim/ GST only</t>
  </si>
  <si>
    <t>Insurance claim</t>
  </si>
  <si>
    <t>battery replacement + Hw removal</t>
  </si>
  <si>
    <t>2 new tires + balance</t>
  </si>
  <si>
    <t>HW install</t>
  </si>
  <si>
    <t>Inspection</t>
  </si>
  <si>
    <t>Difference on purchase price</t>
  </si>
  <si>
    <t>wheel hub</t>
  </si>
  <si>
    <t>hw unisntall</t>
  </si>
  <si>
    <t>smashed window</t>
  </si>
  <si>
    <t>GST Only</t>
  </si>
  <si>
    <t>Hub Cap missing</t>
  </si>
  <si>
    <t>Cleaning</t>
  </si>
  <si>
    <t>OTA Key removal</t>
  </si>
  <si>
    <t>Destination Toyota Burnaby</t>
  </si>
  <si>
    <t>Jim Pattison Toyota Surrey</t>
  </si>
  <si>
    <t>OpenRoad Toyota Richmond</t>
  </si>
  <si>
    <t>Westminster Toyota</t>
  </si>
  <si>
    <t>Financial / Admin</t>
  </si>
  <si>
    <t>Tires &amp; Wheels</t>
  </si>
  <si>
    <t>Maintenance &amp; Repair</t>
  </si>
  <si>
    <t>Window Bezel Replacement</t>
  </si>
  <si>
    <t>Fuel &amp; Recharge</t>
  </si>
  <si>
    <t>Inspection (CVI)</t>
  </si>
  <si>
    <t>Hardware &amp; OTA</t>
  </si>
  <si>
    <t>Mirai Shipping</t>
  </si>
  <si>
    <t>hw uninstall / unisntall</t>
  </si>
  <si>
    <t>Work Category</t>
  </si>
  <si>
    <t>45528</t>
  </si>
  <si>
    <t>46096</t>
  </si>
  <si>
    <t>08371</t>
  </si>
  <si>
    <t>11789</t>
  </si>
  <si>
    <t>50006</t>
  </si>
  <si>
    <t>11764</t>
  </si>
  <si>
    <t>44929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</si>
</sst>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2363A"/>
      <name val="Aptos Narrow"/>
      <family val="2"/>
      <scheme val="minor"/>
    </font>
    <font>
      <sz val="11"/>
      <color rgb="FF23262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1" applyFont="1" applyBorder="1" applyAlignment="1"/>
    <xf numFmtId="44" fontId="0" fillId="4" borderId="0" xfId="1" applyFont="1" applyFill="1" applyBorder="1" applyAlignment="1"/>
    <xf numFmtId="0" fontId="2" fillId="0" borderId="0" xfId="0" applyFont="1"/>
    <xf numFmtId="44" fontId="0" fillId="0" borderId="0" xfId="1" applyFont="1" applyBorder="1"/>
    <xf numFmtId="44" fontId="0" fillId="3" borderId="0" xfId="1" applyFont="1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left" vertical="center"/>
    </xf>
    <xf numFmtId="14" fontId="3" fillId="0" borderId="0" xfId="0" applyNumberFormat="1" applyFont="1"/>
    <xf numFmtId="8" fontId="3" fillId="0" borderId="0" xfId="0" applyNumberFormat="1" applyFont="1"/>
    <xf numFmtId="8" fontId="3" fillId="2" borderId="0" xfId="0" applyNumberFormat="1" applyFont="1" applyFill="1"/>
    <xf numFmtId="49" fontId="3" fillId="0" borderId="0" xfId="0" applyNumberFormat="1" applyFont="1"/>
    <xf numFmtId="44" fontId="0" fillId="3" borderId="0" xfId="1" applyFont="1" applyFill="1" applyBorder="1" applyAlignment="1"/>
    <xf numFmtId="44" fontId="3" fillId="0" borderId="0" xfId="1" applyFont="1" applyBorder="1"/>
    <xf numFmtId="44" fontId="3" fillId="0" borderId="0" xfId="1" applyFont="1" applyBorder="1" applyAlignment="1">
      <alignment horizontal="right"/>
    </xf>
    <xf numFmtId="44" fontId="3" fillId="2" borderId="0" xfId="1" applyFont="1" applyFill="1" applyBorder="1"/>
    <xf numFmtId="0" fontId="6" fillId="0" borderId="0" xfId="0" applyFont="1"/>
    <xf numFmtId="49" fontId="6" fillId="0" borderId="0" xfId="0" applyNumberFormat="1" applyFont="1"/>
    <xf numFmtId="49" fontId="0" fillId="0" borderId="0" xfId="0" applyNumberFormat="1"/>
    <xf numFmtId="49" fontId="4" fillId="0" borderId="0" xfId="0" applyNumberFormat="1" applyFont="1"/>
    <xf numFmtId="49" fontId="5" fillId="0" borderId="0" xfId="0" applyNumberFormat="1" applyFont="1"/>
    <xf numFmtId="49" fontId="0" fillId="0" borderId="0" xfId="0" applyNumberFormat="1" applyAlignment="1">
      <alignment horizontal="right"/>
    </xf>
    <xf numFmtId="44" fontId="6" fillId="0" borderId="0" xfId="1" applyFont="1" applyBorder="1"/>
    <xf numFmtId="44" fontId="6" fillId="2" borderId="0" xfId="1" applyFont="1" applyFill="1" applyBorder="1"/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</cellXfs>
  <cellStyles count="2">
    <cellStyle name="Currency" xfId="1" builtinId="4"/>
    <cellStyle name="Normal" xfId="0" builtinId="0"/>
  </cellStyles>
  <dxfs count="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6678F-3AC2-4FBF-B196-9B8949CC899A}">
  <dimension ref="A1:Z138"/>
  <sheetViews>
    <sheetView tabSelected="1" workbookViewId="0">
      <selection activeCell="G3" sqref="G3"/>
    </sheetView>
  </sheetViews>
  <sheetFormatPr defaultColWidth="12.6640625" defaultRowHeight="19.2" customHeight="1" x14ac:dyDescent="0.3"/>
  <cols>
    <col min="3" max="5" width="12.6640625" style="20"/>
    <col min="8" max="8" width="24.88671875" customWidth="1"/>
    <col min="9" max="16" width="12.6640625" style="4"/>
    <col min="18" max="18" width="12.6640625" style="4"/>
    <col min="20" max="20" width="12.6640625" style="20"/>
  </cols>
  <sheetData>
    <row r="1" spans="1:26" ht="19.2" customHeight="1" x14ac:dyDescent="0.3">
      <c r="A1" s="3" t="s">
        <v>17</v>
      </c>
      <c r="B1" s="18" t="s">
        <v>16</v>
      </c>
      <c r="C1" s="19" t="s">
        <v>15</v>
      </c>
      <c r="D1" s="19" t="s">
        <v>23</v>
      </c>
      <c r="E1" s="19" t="s">
        <v>14</v>
      </c>
      <c r="F1" s="18" t="s">
        <v>13</v>
      </c>
      <c r="G1" s="18"/>
      <c r="H1" s="18" t="s">
        <v>108</v>
      </c>
      <c r="I1" s="24" t="s">
        <v>12</v>
      </c>
      <c r="J1" s="24" t="s">
        <v>11</v>
      </c>
      <c r="K1" s="24" t="s">
        <v>10</v>
      </c>
      <c r="L1" s="24" t="s">
        <v>9</v>
      </c>
      <c r="M1" s="25" t="s">
        <v>8</v>
      </c>
      <c r="N1" s="24" t="s">
        <v>7</v>
      </c>
      <c r="O1" s="24" t="s">
        <v>6</v>
      </c>
      <c r="P1" s="24" t="s">
        <v>5</v>
      </c>
      <c r="Q1" s="18" t="s">
        <v>4</v>
      </c>
      <c r="R1" s="24" t="s">
        <v>3</v>
      </c>
      <c r="S1" s="18" t="s">
        <v>2</v>
      </c>
      <c r="T1" s="19" t="s">
        <v>48</v>
      </c>
      <c r="Z1" s="9"/>
    </row>
    <row r="2" spans="1:26" ht="19.2" customHeight="1" x14ac:dyDescent="0.3">
      <c r="A2" s="10">
        <v>46084</v>
      </c>
      <c r="B2" t="s">
        <v>98</v>
      </c>
      <c r="C2" s="20">
        <v>1117</v>
      </c>
      <c r="D2" s="21">
        <v>3600270655</v>
      </c>
      <c r="E2" s="13">
        <v>10941</v>
      </c>
      <c r="F2" s="8" t="s">
        <v>1</v>
      </c>
      <c r="G2" s="8"/>
      <c r="H2" s="8" t="str">
        <f>+VLOOKUP(F2,Categories!A:B,2,)</f>
        <v>Financial / Admin</v>
      </c>
      <c r="I2" s="15">
        <v>1915.95</v>
      </c>
      <c r="J2" s="15">
        <v>0</v>
      </c>
      <c r="K2" s="15">
        <v>0</v>
      </c>
      <c r="L2" s="15">
        <v>0</v>
      </c>
      <c r="M2" s="17">
        <f t="shared" ref="M2:M15" si="0">+I2+J2+K2-L2</f>
        <v>1915.95</v>
      </c>
      <c r="N2" s="15">
        <v>0</v>
      </c>
      <c r="O2" s="15">
        <v>0</v>
      </c>
      <c r="P2" s="15">
        <f t="shared" ref="P2:P15" si="1">+N2+O2</f>
        <v>0</v>
      </c>
      <c r="Q2" s="8" t="s">
        <v>0</v>
      </c>
      <c r="R2" s="15">
        <f t="shared" ref="R2:R15" si="2">+ROUND(P2+M2,2)</f>
        <v>1915.95</v>
      </c>
      <c r="S2" s="8" t="s">
        <v>50</v>
      </c>
      <c r="T2" s="13">
        <v>27683</v>
      </c>
      <c r="Z2" s="9"/>
    </row>
    <row r="3" spans="1:26" ht="19.2" customHeight="1" x14ac:dyDescent="0.3">
      <c r="A3" s="10">
        <v>46084</v>
      </c>
      <c r="B3" s="8" t="s">
        <v>97</v>
      </c>
      <c r="C3" s="20">
        <v>1078</v>
      </c>
      <c r="D3" s="21">
        <v>3600270100</v>
      </c>
      <c r="E3" s="13">
        <v>361743</v>
      </c>
      <c r="F3" s="8" t="s">
        <v>18</v>
      </c>
      <c r="G3" s="8"/>
      <c r="H3" s="8" t="str">
        <f>+VLOOKUP(F3,Categories!A:B,2,)</f>
        <v>Tires &amp; Wheels</v>
      </c>
      <c r="I3" s="15">
        <v>0</v>
      </c>
      <c r="J3" s="15">
        <v>0</v>
      </c>
      <c r="K3" s="15">
        <v>116.62</v>
      </c>
      <c r="L3" s="15">
        <v>0</v>
      </c>
      <c r="M3" s="17">
        <f t="shared" si="0"/>
        <v>116.62</v>
      </c>
      <c r="N3" s="15">
        <v>5.83</v>
      </c>
      <c r="O3" s="15">
        <v>8.16</v>
      </c>
      <c r="P3" s="15">
        <f t="shared" si="1"/>
        <v>13.99</v>
      </c>
      <c r="Q3" s="8" t="s">
        <v>19</v>
      </c>
      <c r="R3" s="15">
        <f t="shared" si="2"/>
        <v>130.61000000000001</v>
      </c>
      <c r="S3" s="8" t="s">
        <v>50</v>
      </c>
      <c r="T3" s="13">
        <v>44818</v>
      </c>
      <c r="Z3" s="9"/>
    </row>
    <row r="4" spans="1:26" ht="19.2" customHeight="1" x14ac:dyDescent="0.3">
      <c r="A4" s="10">
        <v>46085</v>
      </c>
      <c r="B4" s="8" t="s">
        <v>95</v>
      </c>
      <c r="C4" s="20">
        <v>1122</v>
      </c>
      <c r="D4" s="21">
        <v>3600270660</v>
      </c>
      <c r="E4" s="13">
        <v>694999</v>
      </c>
      <c r="F4" s="8" t="s">
        <v>20</v>
      </c>
      <c r="G4" s="8"/>
      <c r="H4" s="8" t="str">
        <f>+VLOOKUP(F4,Categories!A:B,2,)</f>
        <v>Maintenance &amp; Repair</v>
      </c>
      <c r="I4" s="15">
        <v>694.95</v>
      </c>
      <c r="J4" s="15">
        <v>0</v>
      </c>
      <c r="K4" s="15">
        <v>0</v>
      </c>
      <c r="L4" s="15">
        <v>0</v>
      </c>
      <c r="M4" s="17">
        <f t="shared" si="0"/>
        <v>694.95</v>
      </c>
      <c r="N4" s="15">
        <v>34.75</v>
      </c>
      <c r="O4" s="15">
        <v>48.65</v>
      </c>
      <c r="P4" s="15">
        <f t="shared" si="1"/>
        <v>83.4</v>
      </c>
      <c r="Q4" s="8" t="s">
        <v>19</v>
      </c>
      <c r="R4" s="15">
        <f t="shared" si="2"/>
        <v>778.35</v>
      </c>
      <c r="S4" s="8" t="s">
        <v>50</v>
      </c>
      <c r="T4" s="13">
        <v>50148</v>
      </c>
      <c r="Z4" s="9"/>
    </row>
    <row r="5" spans="1:26" ht="19.2" customHeight="1" x14ac:dyDescent="0.3">
      <c r="A5" s="10">
        <v>46085</v>
      </c>
      <c r="B5" s="8" t="s">
        <v>95</v>
      </c>
      <c r="C5" s="20">
        <v>1122</v>
      </c>
      <c r="D5" s="21">
        <v>3600270660</v>
      </c>
      <c r="E5" s="13">
        <v>378998</v>
      </c>
      <c r="F5" s="8" t="s">
        <v>21</v>
      </c>
      <c r="G5" s="8"/>
      <c r="H5" s="8" t="str">
        <f>+VLOOKUP(F5,Categories!A:B,2,)</f>
        <v>Maintenance &amp; Repair</v>
      </c>
      <c r="I5" s="15">
        <v>554.65</v>
      </c>
      <c r="J5" s="15">
        <f>194+112.69</f>
        <v>306.69</v>
      </c>
      <c r="K5" s="15">
        <v>1631.4</v>
      </c>
      <c r="L5" s="15">
        <v>0</v>
      </c>
      <c r="M5" s="17">
        <f t="shared" si="0"/>
        <v>2492.7399999999998</v>
      </c>
      <c r="N5" s="15">
        <v>124.64</v>
      </c>
      <c r="O5" s="15">
        <v>174.49</v>
      </c>
      <c r="P5" s="15">
        <f t="shared" si="1"/>
        <v>299.13</v>
      </c>
      <c r="Q5" s="8" t="s">
        <v>22</v>
      </c>
      <c r="R5" s="15">
        <f t="shared" si="2"/>
        <v>2791.87</v>
      </c>
      <c r="S5" s="8" t="s">
        <v>50</v>
      </c>
      <c r="T5" s="13">
        <v>50148</v>
      </c>
    </row>
    <row r="6" spans="1:26" ht="19.2" customHeight="1" x14ac:dyDescent="0.3">
      <c r="A6" s="10">
        <v>46091</v>
      </c>
      <c r="B6" s="8" t="s">
        <v>97</v>
      </c>
      <c r="C6" s="20">
        <v>1078</v>
      </c>
      <c r="D6" s="21">
        <v>3600270750</v>
      </c>
      <c r="E6" s="13">
        <v>349353</v>
      </c>
      <c r="F6" s="8" t="s">
        <v>24</v>
      </c>
      <c r="G6" s="8"/>
      <c r="H6" s="8" t="str">
        <f>+VLOOKUP(F6,Categories!A:B,2,)</f>
        <v>Tires &amp; Wheels</v>
      </c>
      <c r="I6" s="15">
        <v>189.9</v>
      </c>
      <c r="J6" s="15">
        <v>350</v>
      </c>
      <c r="K6" s="15">
        <v>121.1</v>
      </c>
      <c r="L6" s="15">
        <v>0</v>
      </c>
      <c r="M6" s="17">
        <f t="shared" si="0"/>
        <v>661</v>
      </c>
      <c r="N6" s="15">
        <v>33.06</v>
      </c>
      <c r="O6" s="15">
        <v>0</v>
      </c>
      <c r="P6" s="15">
        <f t="shared" si="1"/>
        <v>33.06</v>
      </c>
      <c r="Q6" s="8" t="str">
        <f>+IF(AND(N6&gt;0,O6=0),"GST ONLY",IF(AND(N6&gt;0,#REF!&gt;=0),"GST + PST","NO TAX"))</f>
        <v>GST ONLY</v>
      </c>
      <c r="R6" s="15">
        <f t="shared" si="2"/>
        <v>694.06</v>
      </c>
      <c r="S6" s="8" t="s">
        <v>50</v>
      </c>
      <c r="T6" s="13">
        <v>49744</v>
      </c>
    </row>
    <row r="7" spans="1:26" ht="19.2" customHeight="1" x14ac:dyDescent="0.3">
      <c r="A7" s="10">
        <v>46091</v>
      </c>
      <c r="B7" s="8" t="s">
        <v>97</v>
      </c>
      <c r="C7" s="20">
        <v>1078</v>
      </c>
      <c r="D7" s="21">
        <v>3600270750</v>
      </c>
      <c r="E7" s="13">
        <v>335824</v>
      </c>
      <c r="F7" s="8" t="s">
        <v>25</v>
      </c>
      <c r="G7" s="8"/>
      <c r="H7" s="8" t="str">
        <f>+VLOOKUP(F7,Categories!A:B,2,)</f>
        <v>Maintenance &amp; Repair</v>
      </c>
      <c r="I7" s="15">
        <v>51.59</v>
      </c>
      <c r="J7" s="15">
        <v>0</v>
      </c>
      <c r="K7" s="15">
        <v>155.85</v>
      </c>
      <c r="L7" s="15">
        <v>0</v>
      </c>
      <c r="M7" s="17">
        <f t="shared" si="0"/>
        <v>207.44</v>
      </c>
      <c r="N7" s="15">
        <v>10.37</v>
      </c>
      <c r="O7" s="15">
        <v>0</v>
      </c>
      <c r="P7" s="15">
        <f t="shared" si="1"/>
        <v>10.37</v>
      </c>
      <c r="Q7" s="8" t="str">
        <f>+IF(AND(N7&gt;0,O7=0),"GST ONLY",IF(AND(N7&gt;0,#REF!&gt;=0),"GST + PST","NO TAX"))</f>
        <v>GST ONLY</v>
      </c>
      <c r="R7" s="15">
        <f t="shared" si="2"/>
        <v>217.81</v>
      </c>
      <c r="S7" s="8" t="s">
        <v>50</v>
      </c>
      <c r="T7" s="13">
        <v>94733</v>
      </c>
    </row>
    <row r="8" spans="1:26" ht="19.2" customHeight="1" x14ac:dyDescent="0.3">
      <c r="A8" s="10">
        <v>46091</v>
      </c>
      <c r="B8" s="8" t="s">
        <v>97</v>
      </c>
      <c r="C8" s="20">
        <v>1078</v>
      </c>
      <c r="D8" s="21">
        <v>3600270750</v>
      </c>
      <c r="E8" s="13">
        <v>348815</v>
      </c>
      <c r="F8" s="8" t="s">
        <v>26</v>
      </c>
      <c r="G8" s="8"/>
      <c r="H8" s="8" t="str">
        <f>+VLOOKUP(F8,Categories!A:B,2,)</f>
        <v>Fuel &amp; Recharge</v>
      </c>
      <c r="I8" s="11">
        <v>25</v>
      </c>
      <c r="J8" s="11">
        <f>57.3+2.72</f>
        <v>60.019999999999996</v>
      </c>
      <c r="K8" s="11">
        <v>0</v>
      </c>
      <c r="L8" s="11">
        <v>0</v>
      </c>
      <c r="M8" s="12">
        <f t="shared" si="0"/>
        <v>85.02</v>
      </c>
      <c r="N8" s="11">
        <v>4.26</v>
      </c>
      <c r="O8" s="11">
        <v>0</v>
      </c>
      <c r="P8" s="11">
        <f t="shared" si="1"/>
        <v>4.26</v>
      </c>
      <c r="Q8" s="8" t="str">
        <f>+IF(AND(N8&gt;0,O8=0),"GST ONLY",IF(AND(N8&gt;0,#REF!&gt;=0),"GST + PST","NO TAX"))</f>
        <v>GST ONLY</v>
      </c>
      <c r="R8" s="11">
        <f t="shared" si="2"/>
        <v>89.28</v>
      </c>
      <c r="S8" s="8" t="s">
        <v>27</v>
      </c>
      <c r="T8" s="13">
        <v>11764</v>
      </c>
    </row>
    <row r="9" spans="1:26" ht="19.2" customHeight="1" x14ac:dyDescent="0.3">
      <c r="A9" s="10">
        <v>46091</v>
      </c>
      <c r="B9" t="s">
        <v>98</v>
      </c>
      <c r="C9" s="20">
        <v>1117</v>
      </c>
      <c r="D9" s="21" t="s">
        <v>29</v>
      </c>
      <c r="E9" s="13">
        <v>390687</v>
      </c>
      <c r="F9" s="8" t="s">
        <v>28</v>
      </c>
      <c r="G9" s="8"/>
      <c r="H9" s="8" t="str">
        <f>+VLOOKUP(F9,Categories!A:B,2,)</f>
        <v>Maintenance &amp; Repair</v>
      </c>
      <c r="I9" s="15">
        <v>0</v>
      </c>
      <c r="J9" s="15">
        <v>0</v>
      </c>
      <c r="K9" s="15">
        <v>1496.67</v>
      </c>
      <c r="L9" s="15">
        <v>0</v>
      </c>
      <c r="M9" s="17">
        <f t="shared" si="0"/>
        <v>1496.67</v>
      </c>
      <c r="N9" s="15">
        <v>74.83</v>
      </c>
      <c r="O9" s="15">
        <v>104.77</v>
      </c>
      <c r="P9" s="15">
        <f t="shared" si="1"/>
        <v>179.6</v>
      </c>
      <c r="Q9" s="8" t="str">
        <f t="shared" ref="Q9:Q15" si="3">+IFERROR(+IF(AND(N9&gt;0,O9=0),"GST ONLY",IF(AND(N9&gt;0,O9&gt;=0),"GST + PST","NO TAX")),"")</f>
        <v>GST + PST</v>
      </c>
      <c r="R9" s="15">
        <f t="shared" si="2"/>
        <v>1676.27</v>
      </c>
      <c r="S9" s="8" t="s">
        <v>50</v>
      </c>
      <c r="T9" s="13">
        <v>50229</v>
      </c>
    </row>
    <row r="10" spans="1:26" ht="19.2" customHeight="1" x14ac:dyDescent="0.3">
      <c r="A10" s="10">
        <v>46093</v>
      </c>
      <c r="B10" s="8" t="s">
        <v>95</v>
      </c>
      <c r="C10" s="20">
        <v>1122</v>
      </c>
      <c r="D10" s="21">
        <v>3600270795</v>
      </c>
      <c r="E10" s="13">
        <v>378347</v>
      </c>
      <c r="F10" s="8" t="s">
        <v>30</v>
      </c>
      <c r="G10" s="8"/>
      <c r="H10" s="8" t="str">
        <f>+VLOOKUP(F10,Categories!A:B,2,)</f>
        <v>Financial / Admin</v>
      </c>
      <c r="I10" s="15">
        <v>0</v>
      </c>
      <c r="J10" s="15">
        <v>2500</v>
      </c>
      <c r="K10" s="15">
        <v>0</v>
      </c>
      <c r="L10" s="15">
        <v>0</v>
      </c>
      <c r="M10" s="17">
        <f t="shared" si="0"/>
        <v>2500</v>
      </c>
      <c r="N10" s="15">
        <v>326.27</v>
      </c>
      <c r="O10" s="15">
        <v>0</v>
      </c>
      <c r="P10" s="15">
        <f t="shared" si="1"/>
        <v>326.27</v>
      </c>
      <c r="Q10" s="8" t="str">
        <f t="shared" si="3"/>
        <v>GST ONLY</v>
      </c>
      <c r="R10" s="15">
        <f t="shared" si="2"/>
        <v>2826.27</v>
      </c>
      <c r="S10" s="8" t="s">
        <v>50</v>
      </c>
      <c r="T10" s="13">
        <v>51242</v>
      </c>
    </row>
    <row r="11" spans="1:26" ht="19.2" customHeight="1" x14ac:dyDescent="0.3">
      <c r="A11" s="10">
        <v>46093</v>
      </c>
      <c r="B11" s="8" t="s">
        <v>95</v>
      </c>
      <c r="C11" s="20">
        <v>1122</v>
      </c>
      <c r="D11" s="21">
        <v>3600270795</v>
      </c>
      <c r="E11" s="13">
        <v>627377</v>
      </c>
      <c r="F11" s="8" t="s">
        <v>31</v>
      </c>
      <c r="G11" s="8"/>
      <c r="H11" s="8" t="str">
        <f>+VLOOKUP(F11,Categories!A:B,2,)</f>
        <v>Tires &amp; Wheels</v>
      </c>
      <c r="I11" s="15">
        <v>0</v>
      </c>
      <c r="J11" s="15">
        <v>0</v>
      </c>
      <c r="K11" s="15">
        <v>109.82</v>
      </c>
      <c r="L11" s="15">
        <v>0</v>
      </c>
      <c r="M11" s="17">
        <f t="shared" si="0"/>
        <v>109.82</v>
      </c>
      <c r="N11" s="15">
        <v>5.49</v>
      </c>
      <c r="O11" s="15">
        <v>7.69</v>
      </c>
      <c r="P11" s="15">
        <f t="shared" si="1"/>
        <v>13.18</v>
      </c>
      <c r="Q11" s="8" t="str">
        <f t="shared" si="3"/>
        <v>GST + PST</v>
      </c>
      <c r="R11" s="15">
        <f t="shared" si="2"/>
        <v>123</v>
      </c>
      <c r="S11" s="8" t="s">
        <v>50</v>
      </c>
      <c r="T11" s="13">
        <v>51242</v>
      </c>
    </row>
    <row r="12" spans="1:26" ht="19.2" customHeight="1" x14ac:dyDescent="0.3">
      <c r="A12" s="10">
        <v>46093</v>
      </c>
      <c r="B12" s="8" t="s">
        <v>95</v>
      </c>
      <c r="C12" s="20">
        <v>1122</v>
      </c>
      <c r="D12" s="21">
        <v>3600270795</v>
      </c>
      <c r="E12" s="13">
        <v>688702</v>
      </c>
      <c r="F12" s="8" t="s">
        <v>32</v>
      </c>
      <c r="G12" s="8"/>
      <c r="H12" s="8" t="str">
        <f>+VLOOKUP(F12,Categories!A:B,2,)</f>
        <v>Fuel &amp; Recharge</v>
      </c>
      <c r="I12" s="15">
        <v>0</v>
      </c>
      <c r="J12" s="15">
        <v>175</v>
      </c>
      <c r="K12" s="15">
        <v>0</v>
      </c>
      <c r="L12" s="15">
        <v>0</v>
      </c>
      <c r="M12" s="17">
        <f t="shared" si="0"/>
        <v>175</v>
      </c>
      <c r="N12" s="15">
        <v>8.75</v>
      </c>
      <c r="O12" s="15">
        <v>12.25</v>
      </c>
      <c r="P12" s="15">
        <f t="shared" si="1"/>
        <v>21</v>
      </c>
      <c r="Q12" s="8" t="str">
        <f t="shared" si="3"/>
        <v>GST + PST</v>
      </c>
      <c r="R12" s="15">
        <f t="shared" si="2"/>
        <v>196</v>
      </c>
      <c r="S12" s="8" t="s">
        <v>50</v>
      </c>
      <c r="T12" s="13">
        <v>50388</v>
      </c>
    </row>
    <row r="13" spans="1:26" ht="19.2" customHeight="1" x14ac:dyDescent="0.3">
      <c r="A13" s="10">
        <v>46093</v>
      </c>
      <c r="B13" s="8" t="s">
        <v>95</v>
      </c>
      <c r="C13" s="20">
        <v>1122</v>
      </c>
      <c r="D13" s="21">
        <v>3600270795</v>
      </c>
      <c r="E13" s="13">
        <v>690816</v>
      </c>
      <c r="F13" s="8" t="s">
        <v>33</v>
      </c>
      <c r="G13" s="8"/>
      <c r="H13" s="8" t="str">
        <f>+VLOOKUP(F13,Categories!A:B,2,)</f>
        <v>Tires &amp; Wheels</v>
      </c>
      <c r="I13" s="15">
        <v>40</v>
      </c>
      <c r="J13" s="15">
        <v>6.5</v>
      </c>
      <c r="K13" s="15">
        <v>408.77</v>
      </c>
      <c r="L13" s="15">
        <v>0</v>
      </c>
      <c r="M13" s="17">
        <f t="shared" si="0"/>
        <v>455.27</v>
      </c>
      <c r="N13" s="15">
        <v>22.76</v>
      </c>
      <c r="O13" s="15">
        <v>31.87</v>
      </c>
      <c r="P13" s="15">
        <f t="shared" si="1"/>
        <v>54.63</v>
      </c>
      <c r="Q13" s="8" t="str">
        <f t="shared" si="3"/>
        <v>GST + PST</v>
      </c>
      <c r="R13" s="15">
        <f t="shared" si="2"/>
        <v>509.9</v>
      </c>
      <c r="S13" s="8" t="s">
        <v>50</v>
      </c>
      <c r="T13" s="13">
        <v>50706</v>
      </c>
    </row>
    <row r="14" spans="1:26" ht="19.2" customHeight="1" x14ac:dyDescent="0.3">
      <c r="A14" s="10">
        <v>46093</v>
      </c>
      <c r="B14" s="8" t="s">
        <v>95</v>
      </c>
      <c r="C14" s="20">
        <v>1122</v>
      </c>
      <c r="D14" s="21">
        <v>3600270795</v>
      </c>
      <c r="E14" s="13">
        <v>699272</v>
      </c>
      <c r="F14" s="8" t="s">
        <v>34</v>
      </c>
      <c r="G14" s="8"/>
      <c r="H14" s="8" t="str">
        <f>+VLOOKUP(F14,Categories!A:B,2,)</f>
        <v>Fuel &amp; Recharge</v>
      </c>
      <c r="I14" s="15">
        <v>0</v>
      </c>
      <c r="J14" s="15">
        <v>75</v>
      </c>
      <c r="K14" s="15">
        <v>1067.3399999999999</v>
      </c>
      <c r="L14" s="15">
        <v>0</v>
      </c>
      <c r="M14" s="17">
        <f t="shared" si="0"/>
        <v>1142.3399999999999</v>
      </c>
      <c r="N14" s="15">
        <v>57.12</v>
      </c>
      <c r="O14" s="15">
        <v>79.959999999999994</v>
      </c>
      <c r="P14" s="15">
        <f t="shared" si="1"/>
        <v>137.07999999999998</v>
      </c>
      <c r="Q14" s="8" t="str">
        <f t="shared" si="3"/>
        <v>GST + PST</v>
      </c>
      <c r="R14" s="15">
        <f t="shared" si="2"/>
        <v>1279.42</v>
      </c>
      <c r="S14" s="8" t="s">
        <v>50</v>
      </c>
      <c r="T14" s="13">
        <v>50706</v>
      </c>
    </row>
    <row r="15" spans="1:26" ht="19.2" customHeight="1" x14ac:dyDescent="0.3">
      <c r="A15" s="10">
        <v>46093</v>
      </c>
      <c r="B15" s="8" t="s">
        <v>95</v>
      </c>
      <c r="C15" s="20">
        <v>1122</v>
      </c>
      <c r="D15" s="21">
        <v>3600270795</v>
      </c>
      <c r="E15" s="13">
        <v>701767</v>
      </c>
      <c r="F15" s="8" t="s">
        <v>33</v>
      </c>
      <c r="G15" s="8"/>
      <c r="H15" s="8" t="str">
        <f>+VLOOKUP(F15,Categories!A:B,2,)</f>
        <v>Tires &amp; Wheels</v>
      </c>
      <c r="I15" s="15">
        <v>35</v>
      </c>
      <c r="J15" s="15">
        <v>6.5</v>
      </c>
      <c r="K15" s="15">
        <v>443.09</v>
      </c>
      <c r="L15" s="15">
        <v>0</v>
      </c>
      <c r="M15" s="17">
        <f t="shared" si="0"/>
        <v>484.59</v>
      </c>
      <c r="N15" s="15">
        <v>24.23</v>
      </c>
      <c r="O15" s="15">
        <v>33.92</v>
      </c>
      <c r="P15" s="15">
        <f t="shared" si="1"/>
        <v>58.150000000000006</v>
      </c>
      <c r="Q15" s="8" t="str">
        <f t="shared" si="3"/>
        <v>GST + PST</v>
      </c>
      <c r="R15" s="15">
        <f t="shared" si="2"/>
        <v>542.74</v>
      </c>
      <c r="S15" s="8" t="s">
        <v>50</v>
      </c>
      <c r="T15" s="13">
        <v>51361</v>
      </c>
    </row>
    <row r="16" spans="1:26" ht="19.2" customHeight="1" x14ac:dyDescent="0.3">
      <c r="A16" s="10">
        <v>46093</v>
      </c>
      <c r="B16" s="8" t="s">
        <v>95</v>
      </c>
      <c r="C16" s="20">
        <v>1122</v>
      </c>
      <c r="D16" s="21">
        <v>3600270796</v>
      </c>
      <c r="E16" s="13">
        <v>694734</v>
      </c>
      <c r="F16" s="8" t="s">
        <v>35</v>
      </c>
      <c r="G16" s="8"/>
      <c r="H16" s="8" t="str">
        <f>+VLOOKUP(F16,Categories!A:B,2,)</f>
        <v>Inspection (CVI)</v>
      </c>
      <c r="I16" s="15">
        <v>209.95</v>
      </c>
      <c r="J16" s="15">
        <v>0</v>
      </c>
      <c r="K16" s="15">
        <v>0</v>
      </c>
      <c r="L16" s="15">
        <v>0</v>
      </c>
      <c r="M16" s="17">
        <v>209.95</v>
      </c>
      <c r="N16" s="15">
        <v>10.5</v>
      </c>
      <c r="O16" s="15">
        <v>14.7</v>
      </c>
      <c r="P16" s="15">
        <v>25.2</v>
      </c>
      <c r="Q16" s="8" t="s">
        <v>19</v>
      </c>
      <c r="R16" s="15">
        <v>235.15</v>
      </c>
      <c r="S16" s="8" t="s">
        <v>50</v>
      </c>
      <c r="T16" s="13">
        <v>50104</v>
      </c>
    </row>
    <row r="17" spans="1:20" ht="19.2" customHeight="1" x14ac:dyDescent="0.3">
      <c r="A17" s="10">
        <v>46098</v>
      </c>
      <c r="B17" s="8" t="s">
        <v>95</v>
      </c>
      <c r="C17" s="20">
        <v>1122</v>
      </c>
      <c r="D17" s="21">
        <v>3600270822</v>
      </c>
      <c r="E17" s="13">
        <v>704619</v>
      </c>
      <c r="F17" s="8" t="s">
        <v>36</v>
      </c>
      <c r="G17" s="8"/>
      <c r="H17" s="8" t="str">
        <f>+VLOOKUP(F17,Categories!A:B,2,)</f>
        <v>Fuel &amp; Recharge</v>
      </c>
      <c r="I17" s="15">
        <v>0</v>
      </c>
      <c r="J17" s="15">
        <v>25</v>
      </c>
      <c r="K17" s="15">
        <v>0</v>
      </c>
      <c r="L17" s="15">
        <v>0</v>
      </c>
      <c r="M17" s="17">
        <v>25</v>
      </c>
      <c r="N17" s="15">
        <v>0</v>
      </c>
      <c r="O17" s="15">
        <v>0</v>
      </c>
      <c r="P17" s="15">
        <v>0</v>
      </c>
      <c r="Q17" s="8" t="s">
        <v>0</v>
      </c>
      <c r="R17" s="15">
        <v>25</v>
      </c>
      <c r="S17" s="8" t="s">
        <v>50</v>
      </c>
      <c r="T17" s="13">
        <v>51104</v>
      </c>
    </row>
    <row r="18" spans="1:20" ht="19.2" customHeight="1" x14ac:dyDescent="0.3">
      <c r="A18" s="10">
        <v>46106</v>
      </c>
      <c r="B18" s="8" t="s">
        <v>96</v>
      </c>
      <c r="C18" s="20">
        <v>1088</v>
      </c>
      <c r="D18" s="21">
        <v>3600271656</v>
      </c>
      <c r="E18" s="13">
        <v>541976</v>
      </c>
      <c r="F18" s="8" t="s">
        <v>37</v>
      </c>
      <c r="G18" s="8"/>
      <c r="H18" s="8" t="str">
        <f>+VLOOKUP(F18,Categories!A:B,2,)</f>
        <v>Maintenance &amp; Repair</v>
      </c>
      <c r="I18" s="15">
        <v>17</v>
      </c>
      <c r="J18" s="15">
        <v>0</v>
      </c>
      <c r="K18" s="15">
        <v>30</v>
      </c>
      <c r="L18" s="15">
        <v>0</v>
      </c>
      <c r="M18" s="17">
        <v>47</v>
      </c>
      <c r="N18" s="15">
        <v>2.35</v>
      </c>
      <c r="O18" s="15">
        <v>3.29</v>
      </c>
      <c r="P18" s="15">
        <v>5.6400000000000006</v>
      </c>
      <c r="Q18" s="8" t="s">
        <v>19</v>
      </c>
      <c r="R18" s="15">
        <v>52.64</v>
      </c>
      <c r="S18" s="8" t="s">
        <v>50</v>
      </c>
      <c r="T18" s="13">
        <v>58289</v>
      </c>
    </row>
    <row r="19" spans="1:20" ht="19.2" customHeight="1" x14ac:dyDescent="0.3">
      <c r="A19" s="10">
        <v>46106</v>
      </c>
      <c r="B19" s="8" t="s">
        <v>95</v>
      </c>
      <c r="C19" s="20">
        <v>1122</v>
      </c>
      <c r="D19" s="21">
        <v>3600271657</v>
      </c>
      <c r="E19" s="13">
        <v>704724</v>
      </c>
      <c r="F19" s="8" t="s">
        <v>38</v>
      </c>
      <c r="G19" s="8"/>
      <c r="H19" s="8" t="str">
        <f>+VLOOKUP(F19,Categories!A:B,2,)</f>
        <v>Inspection (CVI)</v>
      </c>
      <c r="I19" s="15">
        <v>888.95</v>
      </c>
      <c r="J19" s="15">
        <v>3.5</v>
      </c>
      <c r="K19" s="15">
        <v>0</v>
      </c>
      <c r="L19" s="15">
        <v>0</v>
      </c>
      <c r="M19" s="17">
        <f>+I19+J19+K19-L19</f>
        <v>892.45</v>
      </c>
      <c r="N19" s="15">
        <v>44.62</v>
      </c>
      <c r="O19" s="15">
        <v>62.47</v>
      </c>
      <c r="P19" s="15">
        <f>+N19+O19</f>
        <v>107.09</v>
      </c>
      <c r="Q19" s="8" t="str">
        <f>+IFERROR(+IF(AND(N19&gt;0,O19=0),"GST ONLY",IF(AND(N19&gt;0,O19&gt;=0),"GST + PST","NO TAX")),"")</f>
        <v>GST + PST</v>
      </c>
      <c r="R19" s="15">
        <f>+ROUND(P19+M19,2)</f>
        <v>999.54</v>
      </c>
      <c r="S19" s="8" t="s">
        <v>50</v>
      </c>
      <c r="T19" s="13">
        <v>94807</v>
      </c>
    </row>
    <row r="20" spans="1:20" ht="19.2" customHeight="1" x14ac:dyDescent="0.3">
      <c r="A20" s="10">
        <v>46106</v>
      </c>
      <c r="B20" s="8" t="s">
        <v>95</v>
      </c>
      <c r="C20" s="20">
        <v>1122</v>
      </c>
      <c r="D20" s="21">
        <v>3600271657</v>
      </c>
      <c r="E20" s="13">
        <v>704725</v>
      </c>
      <c r="F20" s="8" t="s">
        <v>38</v>
      </c>
      <c r="G20" s="8"/>
      <c r="H20" s="8" t="str">
        <f>+VLOOKUP(F20,Categories!A:B,2,)</f>
        <v>Inspection (CVI)</v>
      </c>
      <c r="I20" s="15">
        <v>888.95</v>
      </c>
      <c r="J20" s="15">
        <v>3.5</v>
      </c>
      <c r="K20" s="15">
        <v>0</v>
      </c>
      <c r="L20" s="15">
        <v>0</v>
      </c>
      <c r="M20" s="17">
        <f>+I20+J20+K20-L20</f>
        <v>892.45</v>
      </c>
      <c r="N20" s="15">
        <v>44.62</v>
      </c>
      <c r="O20" s="15">
        <v>62.47</v>
      </c>
      <c r="P20" s="15">
        <f>+N20+O20</f>
        <v>107.09</v>
      </c>
      <c r="Q20" s="8" t="str">
        <f>+IFERROR(+IF(AND(N20&gt;0,O20=0),"GST ONLY",IF(AND(N20&gt;0,O20&gt;=0),"GST + PST","NO TAX")),"")</f>
        <v>GST + PST</v>
      </c>
      <c r="R20" s="15">
        <f>+ROUND(P20+M20,2)</f>
        <v>999.54</v>
      </c>
      <c r="S20" s="8" t="s">
        <v>50</v>
      </c>
      <c r="T20" s="13">
        <v>94917</v>
      </c>
    </row>
    <row r="21" spans="1:20" ht="19.2" customHeight="1" x14ac:dyDescent="0.3">
      <c r="A21" s="10">
        <v>46056</v>
      </c>
      <c r="B21" s="8" t="s">
        <v>95</v>
      </c>
      <c r="C21" s="20">
        <v>1122</v>
      </c>
      <c r="D21" s="22">
        <v>3600268565</v>
      </c>
      <c r="E21" s="13">
        <v>699883</v>
      </c>
      <c r="F21" s="8" t="s">
        <v>36</v>
      </c>
      <c r="G21" s="8"/>
      <c r="H21" s="8" t="str">
        <f>+VLOOKUP(F21,Categories!A:B,2,)</f>
        <v>Fuel &amp; Recharge</v>
      </c>
      <c r="I21" s="15">
        <v>0</v>
      </c>
      <c r="J21" s="15">
        <v>25</v>
      </c>
      <c r="K21" s="15">
        <v>0</v>
      </c>
      <c r="L21" s="15">
        <v>0</v>
      </c>
      <c r="M21" s="17">
        <v>25</v>
      </c>
      <c r="N21" s="15">
        <v>0</v>
      </c>
      <c r="O21" s="15">
        <v>0</v>
      </c>
      <c r="P21" s="15">
        <v>0</v>
      </c>
      <c r="Q21" s="8" t="s">
        <v>22</v>
      </c>
      <c r="R21" s="15">
        <v>25</v>
      </c>
      <c r="S21" s="8" t="s">
        <v>50</v>
      </c>
      <c r="T21" s="13">
        <v>94917</v>
      </c>
    </row>
    <row r="22" spans="1:20" ht="19.2" customHeight="1" x14ac:dyDescent="0.3">
      <c r="A22" s="10">
        <v>46056</v>
      </c>
      <c r="B22" t="s">
        <v>98</v>
      </c>
      <c r="C22" s="20">
        <v>1117</v>
      </c>
      <c r="D22" s="22">
        <v>3600268566</v>
      </c>
      <c r="E22" s="13">
        <v>267242</v>
      </c>
      <c r="F22" s="8" t="s">
        <v>39</v>
      </c>
      <c r="G22" s="8"/>
      <c r="H22" s="8" t="str">
        <f>+VLOOKUP(F22,Categories!A:B,2,)</f>
        <v>Maintenance &amp; Repair</v>
      </c>
      <c r="I22" s="15">
        <v>0</v>
      </c>
      <c r="J22" s="15">
        <v>0</v>
      </c>
      <c r="K22" s="15">
        <v>113.18</v>
      </c>
      <c r="L22" s="15">
        <v>0</v>
      </c>
      <c r="M22" s="17">
        <v>113.18</v>
      </c>
      <c r="N22" s="15">
        <v>5.66</v>
      </c>
      <c r="O22" s="15">
        <v>7.92</v>
      </c>
      <c r="P22" s="15">
        <v>13.58</v>
      </c>
      <c r="Q22" s="8" t="s">
        <v>19</v>
      </c>
      <c r="R22" s="15">
        <v>126.76</v>
      </c>
      <c r="S22" s="8" t="s">
        <v>50</v>
      </c>
      <c r="T22" s="13">
        <v>50463</v>
      </c>
    </row>
    <row r="23" spans="1:20" ht="19.2" customHeight="1" x14ac:dyDescent="0.3">
      <c r="A23" s="10">
        <v>46056</v>
      </c>
      <c r="B23" t="s">
        <v>98</v>
      </c>
      <c r="C23" s="20">
        <v>1117</v>
      </c>
      <c r="D23" s="22">
        <v>3600268566</v>
      </c>
      <c r="E23" s="13">
        <v>380217</v>
      </c>
      <c r="F23" s="8" t="s">
        <v>40</v>
      </c>
      <c r="G23" s="8"/>
      <c r="H23" s="8" t="str">
        <f>+VLOOKUP(F23,Categories!A:B,2,)</f>
        <v>Fuel &amp; Recharge</v>
      </c>
      <c r="I23" s="11">
        <v>50.73</v>
      </c>
      <c r="J23" s="11">
        <v>6.09</v>
      </c>
      <c r="K23" s="11">
        <v>0</v>
      </c>
      <c r="L23" s="11">
        <v>0</v>
      </c>
      <c r="M23" s="12">
        <v>56.819999999999993</v>
      </c>
      <c r="N23" s="11">
        <v>2.84</v>
      </c>
      <c r="O23" s="11">
        <v>3.98</v>
      </c>
      <c r="P23" s="11">
        <v>6.82</v>
      </c>
      <c r="Q23" s="8" t="s">
        <v>19</v>
      </c>
      <c r="R23" s="11">
        <v>63.64</v>
      </c>
      <c r="S23" s="8" t="s">
        <v>27</v>
      </c>
      <c r="T23" s="13" t="s">
        <v>41</v>
      </c>
    </row>
    <row r="24" spans="1:20" ht="19.2" customHeight="1" x14ac:dyDescent="0.3">
      <c r="A24" s="10">
        <v>46056</v>
      </c>
      <c r="B24" t="s">
        <v>98</v>
      </c>
      <c r="C24" s="20">
        <v>1117</v>
      </c>
      <c r="D24" s="22">
        <v>3600268566</v>
      </c>
      <c r="E24" s="13">
        <v>385688</v>
      </c>
      <c r="F24" s="8" t="s">
        <v>42</v>
      </c>
      <c r="G24" s="8"/>
      <c r="H24" s="8" t="str">
        <f>+VLOOKUP(F24,Categories!A:B,2,)</f>
        <v>Tires &amp; Wheels</v>
      </c>
      <c r="I24" s="15">
        <v>92.48</v>
      </c>
      <c r="J24" s="15">
        <v>24.1</v>
      </c>
      <c r="K24" s="15">
        <v>1097.96</v>
      </c>
      <c r="L24" s="15">
        <v>0</v>
      </c>
      <c r="M24" s="17">
        <v>1214.54</v>
      </c>
      <c r="N24" s="15">
        <v>60.73</v>
      </c>
      <c r="O24" s="15">
        <v>85.02</v>
      </c>
      <c r="P24" s="15">
        <v>145.75</v>
      </c>
      <c r="Q24" s="8" t="s">
        <v>19</v>
      </c>
      <c r="R24" s="15">
        <v>1360.29</v>
      </c>
      <c r="S24" s="8" t="s">
        <v>50</v>
      </c>
      <c r="T24" s="13">
        <v>50565</v>
      </c>
    </row>
    <row r="25" spans="1:20" ht="19.2" customHeight="1" x14ac:dyDescent="0.3">
      <c r="A25" s="10">
        <v>46065</v>
      </c>
      <c r="B25" s="8" t="s">
        <v>95</v>
      </c>
      <c r="C25" s="20">
        <v>1122</v>
      </c>
      <c r="D25" s="22">
        <v>3600268722</v>
      </c>
      <c r="E25" s="13">
        <v>700700</v>
      </c>
      <c r="F25" s="8" t="s">
        <v>36</v>
      </c>
      <c r="G25" s="8"/>
      <c r="H25" s="8" t="str">
        <f>+VLOOKUP(F25,Categories!A:B,2,)</f>
        <v>Fuel &amp; Recharge</v>
      </c>
      <c r="I25" s="15">
        <v>0</v>
      </c>
      <c r="J25" s="15">
        <v>25</v>
      </c>
      <c r="K25" s="15">
        <v>0</v>
      </c>
      <c r="L25" s="15">
        <v>0</v>
      </c>
      <c r="M25" s="17">
        <f t="shared" ref="M25:M42" si="4">+I25+J25+K25-L25</f>
        <v>25</v>
      </c>
      <c r="N25" s="15">
        <v>0</v>
      </c>
      <c r="O25" s="15">
        <v>0</v>
      </c>
      <c r="P25" s="15">
        <f t="shared" ref="P25:P43" si="5">+N25+O25</f>
        <v>0</v>
      </c>
      <c r="Q25" s="8" t="s">
        <v>22</v>
      </c>
      <c r="R25" s="15">
        <f t="shared" ref="R25:R42" si="6">+ROUND(P25+M25,2)</f>
        <v>25</v>
      </c>
      <c r="S25" s="8" t="s">
        <v>50</v>
      </c>
      <c r="T25" s="13">
        <v>51361</v>
      </c>
    </row>
    <row r="26" spans="1:20" ht="19.2" customHeight="1" x14ac:dyDescent="0.3">
      <c r="A26" s="10">
        <v>46065</v>
      </c>
      <c r="B26" s="8" t="s">
        <v>95</v>
      </c>
      <c r="C26" s="20">
        <v>1122</v>
      </c>
      <c r="D26" s="22">
        <v>3600268722</v>
      </c>
      <c r="E26" s="13">
        <v>701262</v>
      </c>
      <c r="F26" s="8" t="s">
        <v>36</v>
      </c>
      <c r="G26" s="8"/>
      <c r="H26" s="8" t="str">
        <f>+VLOOKUP(F26,Categories!A:B,2,)</f>
        <v>Fuel &amp; Recharge</v>
      </c>
      <c r="I26" s="15">
        <v>0</v>
      </c>
      <c r="J26" s="15">
        <v>25</v>
      </c>
      <c r="K26" s="15">
        <v>0</v>
      </c>
      <c r="L26" s="15">
        <v>0</v>
      </c>
      <c r="M26" s="17">
        <f t="shared" si="4"/>
        <v>25</v>
      </c>
      <c r="N26" s="15">
        <v>0</v>
      </c>
      <c r="O26" s="15">
        <v>0</v>
      </c>
      <c r="P26" s="15">
        <f t="shared" si="5"/>
        <v>0</v>
      </c>
      <c r="Q26" s="8" t="s">
        <v>22</v>
      </c>
      <c r="R26" s="15">
        <f t="shared" si="6"/>
        <v>25</v>
      </c>
      <c r="S26" s="8" t="s">
        <v>50</v>
      </c>
      <c r="T26" s="13">
        <v>50388</v>
      </c>
    </row>
    <row r="27" spans="1:20" ht="19.2" customHeight="1" x14ac:dyDescent="0.3">
      <c r="A27" s="10">
        <v>46072</v>
      </c>
      <c r="B27" t="s">
        <v>98</v>
      </c>
      <c r="C27" s="20">
        <v>1117</v>
      </c>
      <c r="D27" s="22">
        <v>3600269377</v>
      </c>
      <c r="E27" s="13">
        <v>389772</v>
      </c>
      <c r="F27" s="8" t="s">
        <v>43</v>
      </c>
      <c r="G27" s="8"/>
      <c r="H27" s="8" t="str">
        <f>+VLOOKUP(F27,Categories!A:B,2,)</f>
        <v>Maintenance &amp; Repair</v>
      </c>
      <c r="I27" s="15">
        <v>0</v>
      </c>
      <c r="J27" s="15">
        <v>1496.67</v>
      </c>
      <c r="K27" s="15">
        <v>0</v>
      </c>
      <c r="L27" s="15">
        <v>0</v>
      </c>
      <c r="M27" s="17">
        <f t="shared" si="4"/>
        <v>1496.67</v>
      </c>
      <c r="N27" s="15">
        <v>74.83</v>
      </c>
      <c r="O27" s="15">
        <v>104.77</v>
      </c>
      <c r="P27" s="15">
        <f t="shared" si="5"/>
        <v>179.6</v>
      </c>
      <c r="Q27" s="8" t="s">
        <v>22</v>
      </c>
      <c r="R27" s="15">
        <f t="shared" si="6"/>
        <v>1676.27</v>
      </c>
      <c r="S27" s="8" t="s">
        <v>50</v>
      </c>
      <c r="T27" s="13">
        <v>50340</v>
      </c>
    </row>
    <row r="28" spans="1:20" ht="19.2" customHeight="1" x14ac:dyDescent="0.3">
      <c r="A28" s="10">
        <v>46076</v>
      </c>
      <c r="B28" s="8" t="s">
        <v>95</v>
      </c>
      <c r="C28" s="20">
        <v>1122</v>
      </c>
      <c r="D28" s="22">
        <v>3600269601</v>
      </c>
      <c r="E28" s="13">
        <v>702279</v>
      </c>
      <c r="F28" s="8" t="s">
        <v>36</v>
      </c>
      <c r="G28" s="8"/>
      <c r="H28" s="8" t="str">
        <f>+VLOOKUP(F28,Categories!A:B,2,)</f>
        <v>Fuel &amp; Recharge</v>
      </c>
      <c r="I28" s="15">
        <v>0</v>
      </c>
      <c r="J28" s="15">
        <v>25</v>
      </c>
      <c r="K28" s="15">
        <v>0</v>
      </c>
      <c r="L28" s="15">
        <v>0</v>
      </c>
      <c r="M28" s="17">
        <f t="shared" si="4"/>
        <v>25</v>
      </c>
      <c r="N28" s="15">
        <v>0</v>
      </c>
      <c r="O28" s="15">
        <v>0</v>
      </c>
      <c r="P28" s="15">
        <f t="shared" si="5"/>
        <v>0</v>
      </c>
      <c r="Q28" s="8" t="s">
        <v>22</v>
      </c>
      <c r="R28" s="15">
        <f t="shared" si="6"/>
        <v>25</v>
      </c>
      <c r="S28" s="8" t="s">
        <v>50</v>
      </c>
      <c r="T28" s="13">
        <v>50716</v>
      </c>
    </row>
    <row r="29" spans="1:20" ht="19.2" customHeight="1" x14ac:dyDescent="0.3">
      <c r="A29" s="10">
        <v>46077</v>
      </c>
      <c r="B29" t="s">
        <v>98</v>
      </c>
      <c r="C29" s="20">
        <v>1117</v>
      </c>
      <c r="D29" s="20">
        <v>10021143</v>
      </c>
      <c r="E29" s="13">
        <v>10674</v>
      </c>
      <c r="F29" s="8" t="s">
        <v>44</v>
      </c>
      <c r="G29" s="8"/>
      <c r="H29" s="8" t="str">
        <f>+VLOOKUP(F29,Categories!A:B,2,)</f>
        <v>Financial / Admin</v>
      </c>
      <c r="I29" s="15">
        <v>0</v>
      </c>
      <c r="J29" s="15">
        <v>0</v>
      </c>
      <c r="K29" s="15">
        <v>0</v>
      </c>
      <c r="L29" s="15">
        <v>0</v>
      </c>
      <c r="M29" s="15">
        <f t="shared" si="4"/>
        <v>0</v>
      </c>
      <c r="N29" s="15">
        <v>505.96</v>
      </c>
      <c r="O29" s="15">
        <v>0</v>
      </c>
      <c r="P29" s="15">
        <f t="shared" si="5"/>
        <v>505.96</v>
      </c>
      <c r="Q29" s="8" t="s">
        <v>45</v>
      </c>
      <c r="R29" s="15">
        <f t="shared" si="6"/>
        <v>505.96</v>
      </c>
      <c r="S29" s="8" t="s">
        <v>50</v>
      </c>
      <c r="T29" s="13">
        <v>27683</v>
      </c>
    </row>
    <row r="30" spans="1:20" ht="19.2" customHeight="1" x14ac:dyDescent="0.3">
      <c r="A30" s="10">
        <v>46077</v>
      </c>
      <c r="B30" t="s">
        <v>98</v>
      </c>
      <c r="C30" s="20">
        <v>1117</v>
      </c>
      <c r="D30" s="20">
        <v>10021143</v>
      </c>
      <c r="E30" s="13">
        <v>10675</v>
      </c>
      <c r="F30" s="8" t="s">
        <v>44</v>
      </c>
      <c r="G30" s="8"/>
      <c r="H30" s="8" t="str">
        <f>+VLOOKUP(F30,Categories!A:B,2,)</f>
        <v>Financial / Admin</v>
      </c>
      <c r="I30" s="15">
        <v>0</v>
      </c>
      <c r="J30" s="15">
        <v>0</v>
      </c>
      <c r="K30" s="15">
        <v>0</v>
      </c>
      <c r="L30" s="15">
        <v>0</v>
      </c>
      <c r="M30" s="15">
        <f t="shared" si="4"/>
        <v>0</v>
      </c>
      <c r="N30" s="15">
        <v>293.44</v>
      </c>
      <c r="O30" s="15">
        <v>0</v>
      </c>
      <c r="P30" s="15">
        <f t="shared" si="5"/>
        <v>293.44</v>
      </c>
      <c r="Q30" s="8" t="s">
        <v>45</v>
      </c>
      <c r="R30" s="15">
        <f t="shared" si="6"/>
        <v>293.44</v>
      </c>
      <c r="S30" s="8" t="s">
        <v>50</v>
      </c>
      <c r="T30" s="13" t="s">
        <v>113</v>
      </c>
    </row>
    <row r="31" spans="1:20" ht="19.2" customHeight="1" x14ac:dyDescent="0.3">
      <c r="A31" s="10">
        <v>46077</v>
      </c>
      <c r="B31" t="s">
        <v>98</v>
      </c>
      <c r="C31" s="20">
        <v>1117</v>
      </c>
      <c r="D31" s="20">
        <v>10021143</v>
      </c>
      <c r="E31" s="13">
        <v>10685</v>
      </c>
      <c r="F31" s="8" t="s">
        <v>44</v>
      </c>
      <c r="G31" s="8"/>
      <c r="H31" s="8" t="str">
        <f>+VLOOKUP(F31,Categories!A:B,2,)</f>
        <v>Financial / Admin</v>
      </c>
      <c r="I31" s="15">
        <v>0</v>
      </c>
      <c r="J31" s="15">
        <v>0</v>
      </c>
      <c r="K31" s="15">
        <v>0</v>
      </c>
      <c r="L31" s="15">
        <v>0</v>
      </c>
      <c r="M31" s="15">
        <f t="shared" si="4"/>
        <v>0</v>
      </c>
      <c r="N31" s="15">
        <v>124.44</v>
      </c>
      <c r="O31" s="15">
        <v>0</v>
      </c>
      <c r="P31" s="15">
        <f t="shared" si="5"/>
        <v>124.44</v>
      </c>
      <c r="Q31" s="8" t="s">
        <v>45</v>
      </c>
      <c r="R31" s="15">
        <f t="shared" si="6"/>
        <v>124.44</v>
      </c>
      <c r="S31" s="8" t="s">
        <v>50</v>
      </c>
      <c r="T31" s="27">
        <v>58341</v>
      </c>
    </row>
    <row r="32" spans="1:20" ht="19.2" customHeight="1" x14ac:dyDescent="0.3">
      <c r="A32" s="10">
        <v>46035</v>
      </c>
      <c r="B32" s="8" t="s">
        <v>97</v>
      </c>
      <c r="C32" s="20">
        <v>1078</v>
      </c>
      <c r="D32" s="21">
        <v>3600266854</v>
      </c>
      <c r="E32" s="13">
        <v>356803</v>
      </c>
      <c r="F32" s="8" t="s">
        <v>46</v>
      </c>
      <c r="G32" s="8"/>
      <c r="H32" s="8" t="str">
        <f>+VLOOKUP(F32,Categories!A:B,2,)</f>
        <v>Tires &amp; Wheels</v>
      </c>
      <c r="I32" s="15">
        <v>120.37</v>
      </c>
      <c r="J32" s="15">
        <v>6.5</v>
      </c>
      <c r="K32" s="15">
        <v>413.09</v>
      </c>
      <c r="L32" s="15">
        <v>0</v>
      </c>
      <c r="M32" s="17">
        <f t="shared" si="4"/>
        <v>539.96</v>
      </c>
      <c r="N32" s="15">
        <v>27</v>
      </c>
      <c r="O32" s="15">
        <v>0</v>
      </c>
      <c r="P32" s="15">
        <f t="shared" si="5"/>
        <v>27</v>
      </c>
      <c r="Q32" s="8" t="s">
        <v>45</v>
      </c>
      <c r="R32" s="15">
        <f t="shared" si="6"/>
        <v>566.96</v>
      </c>
      <c r="S32" s="8" t="s">
        <v>50</v>
      </c>
      <c r="T32" s="13">
        <v>94817</v>
      </c>
    </row>
    <row r="33" spans="1:24" ht="19.2" customHeight="1" x14ac:dyDescent="0.3">
      <c r="A33" s="10">
        <v>46035</v>
      </c>
      <c r="B33" s="8" t="s">
        <v>95</v>
      </c>
      <c r="C33" s="20">
        <v>1122</v>
      </c>
      <c r="D33" s="21">
        <v>3600266904</v>
      </c>
      <c r="E33" s="13">
        <v>696665</v>
      </c>
      <c r="F33" s="8" t="s">
        <v>35</v>
      </c>
      <c r="G33" s="8"/>
      <c r="H33" s="8" t="str">
        <f>+VLOOKUP(F33,Categories!A:B,2,)</f>
        <v>Inspection (CVI)</v>
      </c>
      <c r="I33" s="15">
        <v>669.95</v>
      </c>
      <c r="J33" s="15">
        <v>0</v>
      </c>
      <c r="K33" s="15">
        <v>0</v>
      </c>
      <c r="L33" s="15">
        <v>0</v>
      </c>
      <c r="M33" s="17">
        <f t="shared" si="4"/>
        <v>669.95</v>
      </c>
      <c r="N33" s="15">
        <v>33.5</v>
      </c>
      <c r="O33" s="15">
        <v>46.9</v>
      </c>
      <c r="P33" s="15">
        <f t="shared" si="5"/>
        <v>80.400000000000006</v>
      </c>
      <c r="Q33" s="8" t="s">
        <v>19</v>
      </c>
      <c r="R33" s="15">
        <f t="shared" si="6"/>
        <v>750.35</v>
      </c>
      <c r="S33" s="8" t="s">
        <v>50</v>
      </c>
      <c r="T33" s="13">
        <v>51361</v>
      </c>
    </row>
    <row r="34" spans="1:24" ht="19.2" customHeight="1" x14ac:dyDescent="0.3">
      <c r="A34" s="10">
        <v>46035</v>
      </c>
      <c r="B34" s="8" t="s">
        <v>95</v>
      </c>
      <c r="C34" s="20">
        <v>1122</v>
      </c>
      <c r="D34" s="21">
        <v>3600266904</v>
      </c>
      <c r="E34" s="13">
        <v>696911</v>
      </c>
      <c r="F34" s="8" t="s">
        <v>35</v>
      </c>
      <c r="G34" s="8"/>
      <c r="H34" s="8" t="str">
        <f>+VLOOKUP(F34,Categories!A:B,2,)</f>
        <v>Inspection (CVI)</v>
      </c>
      <c r="I34" s="15">
        <v>485.95</v>
      </c>
      <c r="J34" s="15">
        <v>0</v>
      </c>
      <c r="K34" s="15">
        <v>0</v>
      </c>
      <c r="L34" s="15">
        <v>0</v>
      </c>
      <c r="M34" s="17">
        <f t="shared" si="4"/>
        <v>485.95</v>
      </c>
      <c r="N34" s="15">
        <v>24.3</v>
      </c>
      <c r="O34" s="15">
        <v>34.020000000000003</v>
      </c>
      <c r="P34" s="15">
        <f t="shared" si="5"/>
        <v>58.320000000000007</v>
      </c>
      <c r="Q34" s="8" t="s">
        <v>19</v>
      </c>
      <c r="R34" s="15">
        <f t="shared" si="6"/>
        <v>544.27</v>
      </c>
      <c r="S34" s="8" t="s">
        <v>50</v>
      </c>
      <c r="T34" s="13">
        <v>51224</v>
      </c>
    </row>
    <row r="35" spans="1:24" ht="19.2" customHeight="1" x14ac:dyDescent="0.3">
      <c r="A35" s="10">
        <v>46035</v>
      </c>
      <c r="B35" s="8" t="s">
        <v>95</v>
      </c>
      <c r="C35" s="20">
        <v>1122</v>
      </c>
      <c r="D35" s="21">
        <v>3600266904</v>
      </c>
      <c r="E35" s="13">
        <v>697579</v>
      </c>
      <c r="F35" s="8" t="s">
        <v>35</v>
      </c>
      <c r="G35" s="8"/>
      <c r="H35" s="8" t="str">
        <f>+VLOOKUP(F35,Categories!A:B,2,)</f>
        <v>Inspection (CVI)</v>
      </c>
      <c r="I35" s="15">
        <v>694.95</v>
      </c>
      <c r="J35" s="15">
        <v>0</v>
      </c>
      <c r="K35" s="15">
        <v>0</v>
      </c>
      <c r="L35" s="15">
        <v>0</v>
      </c>
      <c r="M35" s="17">
        <f t="shared" si="4"/>
        <v>694.95</v>
      </c>
      <c r="N35" s="15">
        <v>34.75</v>
      </c>
      <c r="O35" s="15">
        <v>48.65</v>
      </c>
      <c r="P35" s="15">
        <f t="shared" si="5"/>
        <v>83.4</v>
      </c>
      <c r="Q35" s="8" t="s">
        <v>19</v>
      </c>
      <c r="R35" s="15">
        <f t="shared" si="6"/>
        <v>778.35</v>
      </c>
      <c r="S35" s="8" t="s">
        <v>50</v>
      </c>
      <c r="T35" s="13">
        <v>51104</v>
      </c>
    </row>
    <row r="36" spans="1:24" ht="19.2" customHeight="1" x14ac:dyDescent="0.3">
      <c r="A36" s="10">
        <v>46035</v>
      </c>
      <c r="B36" s="8" t="s">
        <v>95</v>
      </c>
      <c r="C36" s="20">
        <v>1122</v>
      </c>
      <c r="D36" s="21">
        <v>3600266904</v>
      </c>
      <c r="E36" s="13">
        <v>697585</v>
      </c>
      <c r="F36" s="8" t="s">
        <v>35</v>
      </c>
      <c r="G36" s="8"/>
      <c r="H36" s="8" t="str">
        <f>+VLOOKUP(F36,Categories!A:B,2,)</f>
        <v>Inspection (CVI)</v>
      </c>
      <c r="I36" s="15">
        <v>209.95</v>
      </c>
      <c r="J36" s="15">
        <v>0</v>
      </c>
      <c r="K36" s="15">
        <v>0</v>
      </c>
      <c r="L36" s="15">
        <v>0</v>
      </c>
      <c r="M36" s="17">
        <f t="shared" si="4"/>
        <v>209.95</v>
      </c>
      <c r="N36" s="15">
        <v>10.5</v>
      </c>
      <c r="O36" s="15">
        <v>14.7</v>
      </c>
      <c r="P36" s="15">
        <f t="shared" si="5"/>
        <v>25.2</v>
      </c>
      <c r="Q36" s="8" t="s">
        <v>19</v>
      </c>
      <c r="R36" s="15">
        <f t="shared" si="6"/>
        <v>235.15</v>
      </c>
      <c r="S36" s="8" t="s">
        <v>50</v>
      </c>
      <c r="T36" s="13">
        <v>50716</v>
      </c>
    </row>
    <row r="37" spans="1:24" ht="19.2" customHeight="1" x14ac:dyDescent="0.3">
      <c r="A37" s="10">
        <v>46035</v>
      </c>
      <c r="B37" s="8" t="s">
        <v>95</v>
      </c>
      <c r="C37" s="20">
        <v>1122</v>
      </c>
      <c r="D37" s="21">
        <v>3600266904</v>
      </c>
      <c r="E37" s="13">
        <v>697599</v>
      </c>
      <c r="F37" s="8" t="s">
        <v>35</v>
      </c>
      <c r="G37" s="8"/>
      <c r="H37" s="8" t="str">
        <f>+VLOOKUP(F37,Categories!A:B,2,)</f>
        <v>Inspection (CVI)</v>
      </c>
      <c r="I37" s="15">
        <v>209.95</v>
      </c>
      <c r="J37" s="15">
        <v>25</v>
      </c>
      <c r="K37" s="15">
        <v>0</v>
      </c>
      <c r="L37" s="15">
        <v>0</v>
      </c>
      <c r="M37" s="17">
        <f t="shared" si="4"/>
        <v>234.95</v>
      </c>
      <c r="N37" s="15">
        <v>11.75</v>
      </c>
      <c r="O37" s="15">
        <v>16.45</v>
      </c>
      <c r="P37" s="15">
        <f t="shared" si="5"/>
        <v>28.2</v>
      </c>
      <c r="Q37" s="8" t="s">
        <v>19</v>
      </c>
      <c r="R37" s="15">
        <f t="shared" si="6"/>
        <v>263.14999999999998</v>
      </c>
      <c r="S37" s="8" t="s">
        <v>50</v>
      </c>
      <c r="T37" s="13">
        <v>50253</v>
      </c>
    </row>
    <row r="38" spans="1:24" ht="19.2" customHeight="1" x14ac:dyDescent="0.3">
      <c r="A38" s="10">
        <v>46043</v>
      </c>
      <c r="B38" s="8" t="s">
        <v>97</v>
      </c>
      <c r="C38" s="20">
        <v>1078</v>
      </c>
      <c r="D38" s="21">
        <v>3600267134</v>
      </c>
      <c r="E38" s="13">
        <v>356916</v>
      </c>
      <c r="F38" s="8" t="s">
        <v>35</v>
      </c>
      <c r="G38" s="8"/>
      <c r="H38" s="8" t="str">
        <f>+VLOOKUP(F38,Categories!A:B,2,)</f>
        <v>Inspection (CVI)</v>
      </c>
      <c r="I38" s="15">
        <v>515.85</v>
      </c>
      <c r="J38" s="15">
        <v>0</v>
      </c>
      <c r="K38" s="15">
        <v>0</v>
      </c>
      <c r="L38" s="15">
        <v>0</v>
      </c>
      <c r="M38" s="17">
        <f t="shared" si="4"/>
        <v>515.85</v>
      </c>
      <c r="N38" s="15">
        <v>25.79</v>
      </c>
      <c r="O38" s="15">
        <v>0</v>
      </c>
      <c r="P38" s="15">
        <f t="shared" si="5"/>
        <v>25.79</v>
      </c>
      <c r="Q38" s="8" t="s">
        <v>45</v>
      </c>
      <c r="R38" s="15">
        <f t="shared" si="6"/>
        <v>541.64</v>
      </c>
      <c r="S38" s="8" t="s">
        <v>50</v>
      </c>
      <c r="T38" s="13">
        <v>49660</v>
      </c>
    </row>
    <row r="39" spans="1:24" ht="19.2" customHeight="1" x14ac:dyDescent="0.3">
      <c r="A39" s="10">
        <v>46043</v>
      </c>
      <c r="B39" s="8" t="s">
        <v>97</v>
      </c>
      <c r="C39" s="20">
        <v>1078</v>
      </c>
      <c r="D39" s="21">
        <v>3600267134</v>
      </c>
      <c r="E39" s="13">
        <v>356918</v>
      </c>
      <c r="F39" s="8" t="s">
        <v>35</v>
      </c>
      <c r="G39" s="8"/>
      <c r="H39" s="8" t="str">
        <f>+VLOOKUP(F39,Categories!A:B,2,)</f>
        <v>Inspection (CVI)</v>
      </c>
      <c r="I39" s="15">
        <v>515.85</v>
      </c>
      <c r="J39" s="15">
        <v>0</v>
      </c>
      <c r="K39" s="15">
        <v>0</v>
      </c>
      <c r="L39" s="15">
        <v>0</v>
      </c>
      <c r="M39" s="17">
        <f t="shared" si="4"/>
        <v>515.85</v>
      </c>
      <c r="N39" s="15">
        <v>25.79</v>
      </c>
      <c r="O39" s="15">
        <v>0</v>
      </c>
      <c r="P39" s="15">
        <f t="shared" si="5"/>
        <v>25.79</v>
      </c>
      <c r="Q39" s="8" t="s">
        <v>45</v>
      </c>
      <c r="R39" s="15">
        <f t="shared" si="6"/>
        <v>541.64</v>
      </c>
      <c r="S39" s="8" t="s">
        <v>50</v>
      </c>
      <c r="T39" s="13">
        <v>49855</v>
      </c>
    </row>
    <row r="40" spans="1:24" ht="19.2" customHeight="1" x14ac:dyDescent="0.3">
      <c r="A40" s="10">
        <v>46051</v>
      </c>
      <c r="B40" t="s">
        <v>98</v>
      </c>
      <c r="C40" s="20">
        <v>1117</v>
      </c>
      <c r="D40" s="21">
        <v>3600267494</v>
      </c>
      <c r="E40" s="13">
        <v>385164</v>
      </c>
      <c r="F40" s="8" t="s">
        <v>33</v>
      </c>
      <c r="G40" s="8"/>
      <c r="H40" s="8" t="str">
        <f>+VLOOKUP(F40,Categories!A:B,2,)</f>
        <v>Tires &amp; Wheels</v>
      </c>
      <c r="I40" s="15">
        <v>110.98</v>
      </c>
      <c r="J40" s="15">
        <v>13.32</v>
      </c>
      <c r="K40" s="15">
        <v>947.3</v>
      </c>
      <c r="L40" s="15">
        <v>0</v>
      </c>
      <c r="M40" s="17">
        <f t="shared" si="4"/>
        <v>1071.5999999999999</v>
      </c>
      <c r="N40" s="15">
        <v>53.58</v>
      </c>
      <c r="O40" s="15">
        <v>75.010000000000005</v>
      </c>
      <c r="P40" s="15">
        <f t="shared" si="5"/>
        <v>128.59</v>
      </c>
      <c r="Q40" s="8" t="s">
        <v>19</v>
      </c>
      <c r="R40" s="15">
        <f t="shared" si="6"/>
        <v>1200.19</v>
      </c>
      <c r="S40" s="8" t="s">
        <v>50</v>
      </c>
      <c r="T40" s="13">
        <v>50229</v>
      </c>
    </row>
    <row r="41" spans="1:24" ht="19.2" customHeight="1" x14ac:dyDescent="0.3">
      <c r="A41" s="10">
        <v>46051</v>
      </c>
      <c r="B41" t="s">
        <v>98</v>
      </c>
      <c r="C41" s="20">
        <v>1117</v>
      </c>
      <c r="D41" s="21">
        <v>3600267494</v>
      </c>
      <c r="E41" s="13">
        <v>386667</v>
      </c>
      <c r="F41" s="8" t="s">
        <v>33</v>
      </c>
      <c r="G41" s="8"/>
      <c r="H41" s="8" t="str">
        <f>+VLOOKUP(F41,Categories!A:B,2,)</f>
        <v>Tires &amp; Wheels</v>
      </c>
      <c r="I41" s="15">
        <v>369.9</v>
      </c>
      <c r="J41" s="15">
        <v>72.89</v>
      </c>
      <c r="K41" s="15">
        <v>1652.8</v>
      </c>
      <c r="L41" s="15">
        <v>0</v>
      </c>
      <c r="M41" s="17">
        <f t="shared" si="4"/>
        <v>2095.59</v>
      </c>
      <c r="N41" s="15">
        <v>104.78</v>
      </c>
      <c r="O41" s="15">
        <v>146.69</v>
      </c>
      <c r="P41" s="15">
        <f t="shared" si="5"/>
        <v>251.47</v>
      </c>
      <c r="Q41" s="8" t="s">
        <v>19</v>
      </c>
      <c r="R41" s="15">
        <f t="shared" si="6"/>
        <v>2347.06</v>
      </c>
      <c r="S41" s="8" t="s">
        <v>50</v>
      </c>
      <c r="T41" s="13">
        <v>50463</v>
      </c>
    </row>
    <row r="42" spans="1:24" ht="19.2" customHeight="1" x14ac:dyDescent="0.3">
      <c r="A42" s="10">
        <v>46051</v>
      </c>
      <c r="B42" s="8" t="s">
        <v>95</v>
      </c>
      <c r="C42" s="20">
        <v>1122</v>
      </c>
      <c r="D42" s="21">
        <v>3600267496</v>
      </c>
      <c r="E42" s="13">
        <v>700246</v>
      </c>
      <c r="F42" s="8" t="s">
        <v>47</v>
      </c>
      <c r="G42" s="8"/>
      <c r="H42" s="8" t="str">
        <f>+VLOOKUP(F42,Categories!A:B,2,)</f>
        <v>Maintenance &amp; Repair</v>
      </c>
      <c r="I42" s="15">
        <v>0</v>
      </c>
      <c r="J42" s="15">
        <v>382.8</v>
      </c>
      <c r="K42" s="15">
        <v>0</v>
      </c>
      <c r="L42" s="15">
        <v>0</v>
      </c>
      <c r="M42" s="17">
        <f t="shared" si="4"/>
        <v>382.8</v>
      </c>
      <c r="N42" s="15">
        <v>19.14</v>
      </c>
      <c r="O42" s="15">
        <v>0</v>
      </c>
      <c r="P42" s="15">
        <f t="shared" si="5"/>
        <v>19.14</v>
      </c>
      <c r="Q42" s="8" t="s">
        <v>45</v>
      </c>
      <c r="R42" s="15">
        <f t="shared" si="6"/>
        <v>401.94</v>
      </c>
      <c r="S42" s="8" t="s">
        <v>50</v>
      </c>
      <c r="T42" s="13">
        <v>58201</v>
      </c>
    </row>
    <row r="43" spans="1:24" ht="19.2" customHeight="1" x14ac:dyDescent="0.3">
      <c r="A43" s="6">
        <v>46000</v>
      </c>
      <c r="B43" s="8" t="s">
        <v>95</v>
      </c>
      <c r="C43" s="20">
        <v>1122</v>
      </c>
      <c r="D43" s="21">
        <v>3600263915</v>
      </c>
      <c r="E43" s="13">
        <v>378746</v>
      </c>
      <c r="F43" s="8" t="s">
        <v>49</v>
      </c>
      <c r="G43" s="8"/>
      <c r="H43" s="8" t="str">
        <f>+VLOOKUP(F43,Categories!A:B,2,)</f>
        <v>Maintenance &amp; Repair</v>
      </c>
      <c r="I43" s="15">
        <v>4027.77</v>
      </c>
      <c r="J43" s="15">
        <v>1054.8499999999999</v>
      </c>
      <c r="K43" s="15"/>
      <c r="L43" s="15"/>
      <c r="M43" s="17">
        <f>+SUM(I43:K43)</f>
        <v>5082.62</v>
      </c>
      <c r="N43" s="15">
        <v>254.13</v>
      </c>
      <c r="O43" s="15">
        <v>355.79</v>
      </c>
      <c r="P43" s="15">
        <f t="shared" si="5"/>
        <v>609.92000000000007</v>
      </c>
      <c r="Q43" s="8" t="s">
        <v>19</v>
      </c>
      <c r="R43" s="15">
        <v>754.13</v>
      </c>
      <c r="S43" s="8" t="s">
        <v>50</v>
      </c>
      <c r="T43" s="13">
        <v>50388</v>
      </c>
    </row>
    <row r="44" spans="1:24" ht="19.2" customHeight="1" x14ac:dyDescent="0.3">
      <c r="A44" s="6">
        <v>46000</v>
      </c>
      <c r="B44" s="8" t="s">
        <v>97</v>
      </c>
      <c r="C44" s="20">
        <v>1078</v>
      </c>
      <c r="D44" s="21">
        <v>3600263906</v>
      </c>
      <c r="E44" s="23">
        <v>353593</v>
      </c>
      <c r="F44" s="7" t="s">
        <v>51</v>
      </c>
      <c r="G44" s="7"/>
      <c r="H44" s="8" t="str">
        <f>+VLOOKUP(F44,Categories!A:B,2,)</f>
        <v>Financial / Admin</v>
      </c>
      <c r="I44" s="1">
        <v>530.11</v>
      </c>
      <c r="J44" s="1"/>
      <c r="K44" s="1"/>
      <c r="L44" s="1"/>
      <c r="M44" s="14">
        <f>J44+I44</f>
        <v>530.11</v>
      </c>
      <c r="N44" s="1"/>
      <c r="O44" s="1"/>
      <c r="P44" s="1">
        <f>+O44+N44</f>
        <v>0</v>
      </c>
      <c r="Q44" t="s">
        <v>52</v>
      </c>
      <c r="R44" s="1">
        <f>P44+M44</f>
        <v>530.11</v>
      </c>
      <c r="S44" s="8" t="s">
        <v>50</v>
      </c>
      <c r="T44" s="20">
        <v>44818</v>
      </c>
    </row>
    <row r="45" spans="1:24" s="8" customFormat="1" ht="19.2" customHeight="1" x14ac:dyDescent="0.3">
      <c r="A45" s="10">
        <v>46010</v>
      </c>
      <c r="B45" s="8" t="s">
        <v>95</v>
      </c>
      <c r="C45" s="20">
        <v>1122</v>
      </c>
      <c r="D45" s="21">
        <v>3600265569</v>
      </c>
      <c r="E45" s="13">
        <v>378502</v>
      </c>
      <c r="F45" s="8" t="s">
        <v>53</v>
      </c>
      <c r="H45" s="8" t="str">
        <f>+VLOOKUP(F45,Categories!A:B,2,)</f>
        <v>Maintenance &amp; Repair</v>
      </c>
      <c r="I45" s="11">
        <v>1174.21</v>
      </c>
      <c r="J45" s="11">
        <v>1804.77</v>
      </c>
      <c r="K45" s="11">
        <v>490.7</v>
      </c>
      <c r="L45" s="11"/>
      <c r="M45" s="12">
        <f>+I45+J45+K45</f>
        <v>3469.68</v>
      </c>
      <c r="N45" s="11">
        <v>173.49</v>
      </c>
      <c r="O45" s="11">
        <v>242.87</v>
      </c>
      <c r="P45" s="11">
        <f t="shared" ref="P45:P51" si="7">+N45+O45</f>
        <v>416.36</v>
      </c>
      <c r="Q45" s="8" t="s">
        <v>19</v>
      </c>
      <c r="R45" s="11">
        <f>+M45+P45</f>
        <v>3886.04</v>
      </c>
      <c r="S45" s="8" t="s">
        <v>27</v>
      </c>
      <c r="T45" s="13" t="s">
        <v>112</v>
      </c>
      <c r="W45"/>
      <c r="X45"/>
    </row>
    <row r="46" spans="1:24" ht="19.2" customHeight="1" x14ac:dyDescent="0.3">
      <c r="A46" s="10">
        <v>46013</v>
      </c>
      <c r="B46" s="8" t="s">
        <v>95</v>
      </c>
      <c r="C46" s="20">
        <v>1122</v>
      </c>
      <c r="D46" s="21">
        <v>3600265692</v>
      </c>
      <c r="E46" s="13">
        <v>695013</v>
      </c>
      <c r="F46" s="8" t="s">
        <v>35</v>
      </c>
      <c r="G46" s="8"/>
      <c r="H46" s="8" t="str">
        <f>+VLOOKUP(F46,Categories!A:B,2,)</f>
        <v>Inspection (CVI)</v>
      </c>
      <c r="I46" s="15">
        <v>492.15</v>
      </c>
      <c r="J46" s="15">
        <v>0</v>
      </c>
      <c r="K46" s="15">
        <v>7</v>
      </c>
      <c r="L46" s="15"/>
      <c r="M46" s="14">
        <f>+I46+J46+K46</f>
        <v>499.15</v>
      </c>
      <c r="N46" s="15">
        <v>24.96</v>
      </c>
      <c r="O46" s="15">
        <v>34.94</v>
      </c>
      <c r="P46" s="16">
        <f t="shared" si="7"/>
        <v>59.9</v>
      </c>
      <c r="Q46" s="8" t="s">
        <v>19</v>
      </c>
      <c r="R46" s="1">
        <f t="shared" ref="R46:R51" si="8">P46+M46</f>
        <v>559.04999999999995</v>
      </c>
      <c r="S46" s="8" t="s">
        <v>50</v>
      </c>
      <c r="T46" s="13">
        <v>50706</v>
      </c>
    </row>
    <row r="47" spans="1:24" ht="19.2" customHeight="1" x14ac:dyDescent="0.3">
      <c r="A47" s="10">
        <v>46013</v>
      </c>
      <c r="B47" s="8" t="s">
        <v>95</v>
      </c>
      <c r="C47" s="20">
        <v>1122</v>
      </c>
      <c r="D47" s="21">
        <v>3600265692</v>
      </c>
      <c r="E47" s="13">
        <v>695021</v>
      </c>
      <c r="F47" s="8" t="s">
        <v>35</v>
      </c>
      <c r="G47" s="8"/>
      <c r="H47" s="8" t="str">
        <f>+VLOOKUP(F47,Categories!A:B,2,)</f>
        <v>Inspection (CVI)</v>
      </c>
      <c r="I47" s="15">
        <v>633.15</v>
      </c>
      <c r="J47" s="15">
        <v>0</v>
      </c>
      <c r="K47" s="15">
        <v>0</v>
      </c>
      <c r="L47" s="15"/>
      <c r="M47" s="17">
        <f>+I47+J47+K47</f>
        <v>633.15</v>
      </c>
      <c r="N47" s="15">
        <v>31.66</v>
      </c>
      <c r="O47" s="15">
        <v>44.32</v>
      </c>
      <c r="P47" s="16">
        <f t="shared" si="7"/>
        <v>75.98</v>
      </c>
      <c r="Q47" s="8" t="s">
        <v>19</v>
      </c>
      <c r="R47" s="15">
        <f t="shared" si="8"/>
        <v>709.13</v>
      </c>
      <c r="S47" s="8" t="s">
        <v>50</v>
      </c>
      <c r="T47" s="13">
        <v>50388</v>
      </c>
    </row>
    <row r="48" spans="1:24" ht="19.2" customHeight="1" x14ac:dyDescent="0.3">
      <c r="A48" s="10">
        <v>46013</v>
      </c>
      <c r="B48" s="8" t="s">
        <v>95</v>
      </c>
      <c r="C48" s="20">
        <v>1122</v>
      </c>
      <c r="D48" s="21">
        <v>3600265692</v>
      </c>
      <c r="E48" s="13">
        <v>695437</v>
      </c>
      <c r="F48" s="8" t="s">
        <v>35</v>
      </c>
      <c r="G48" s="8"/>
      <c r="H48" s="8" t="str">
        <f>+VLOOKUP(F48,Categories!A:B,2,)</f>
        <v>Inspection (CVI)</v>
      </c>
      <c r="I48" s="15">
        <v>449.15</v>
      </c>
      <c r="J48" s="15">
        <v>0</v>
      </c>
      <c r="K48" s="15">
        <v>0</v>
      </c>
      <c r="L48" s="15"/>
      <c r="M48" s="17">
        <f>+I48+J48+K48</f>
        <v>449.15</v>
      </c>
      <c r="N48" s="15">
        <v>22.46</v>
      </c>
      <c r="O48" s="15">
        <v>31.44</v>
      </c>
      <c r="P48" s="16">
        <f t="shared" si="7"/>
        <v>53.900000000000006</v>
      </c>
      <c r="Q48" s="8" t="s">
        <v>19</v>
      </c>
      <c r="R48" s="15">
        <f t="shared" si="8"/>
        <v>503.04999999999995</v>
      </c>
      <c r="S48" s="8" t="s">
        <v>50</v>
      </c>
      <c r="T48" s="13">
        <v>51242</v>
      </c>
    </row>
    <row r="49" spans="1:20" ht="19.2" customHeight="1" x14ac:dyDescent="0.3">
      <c r="A49" s="10">
        <v>46013</v>
      </c>
      <c r="B49" s="8" t="s">
        <v>95</v>
      </c>
      <c r="C49" s="20">
        <v>1122</v>
      </c>
      <c r="D49" s="21">
        <v>3600265692</v>
      </c>
      <c r="E49" s="13">
        <v>695824</v>
      </c>
      <c r="F49" s="8" t="s">
        <v>35</v>
      </c>
      <c r="G49" s="8"/>
      <c r="H49" s="8" t="str">
        <f>+VLOOKUP(F49,Categories!A:B,2,)</f>
        <v>Inspection (CVI)</v>
      </c>
      <c r="I49" s="15">
        <v>209.95</v>
      </c>
      <c r="J49" s="15">
        <v>320</v>
      </c>
      <c r="K49" s="15">
        <v>0</v>
      </c>
      <c r="L49" s="15"/>
      <c r="M49" s="17">
        <f>+I49+J49+K49</f>
        <v>529.95000000000005</v>
      </c>
      <c r="N49" s="15">
        <v>26.5</v>
      </c>
      <c r="O49" s="15">
        <v>37.1</v>
      </c>
      <c r="P49" s="16">
        <f t="shared" si="7"/>
        <v>63.6</v>
      </c>
      <c r="Q49" s="8" t="s">
        <v>19</v>
      </c>
      <c r="R49" s="15">
        <f t="shared" si="8"/>
        <v>593.55000000000007</v>
      </c>
      <c r="S49" s="8" t="s">
        <v>50</v>
      </c>
      <c r="T49" s="13">
        <v>50816</v>
      </c>
    </row>
    <row r="50" spans="1:20" ht="19.2" customHeight="1" x14ac:dyDescent="0.3">
      <c r="A50" s="10">
        <v>46013</v>
      </c>
      <c r="B50" s="8" t="s">
        <v>95</v>
      </c>
      <c r="C50" s="20">
        <v>1122</v>
      </c>
      <c r="D50" s="21">
        <v>3600265692</v>
      </c>
      <c r="E50" s="13">
        <v>696231</v>
      </c>
      <c r="F50" s="8" t="s">
        <v>35</v>
      </c>
      <c r="G50" s="8"/>
      <c r="H50" s="8" t="str">
        <f>+VLOOKUP(F50,Categories!A:B,2,)</f>
        <v>Inspection (CVI)</v>
      </c>
      <c r="I50" s="15">
        <v>209.95</v>
      </c>
      <c r="J50" s="15">
        <v>0</v>
      </c>
      <c r="K50" s="15">
        <v>0</v>
      </c>
      <c r="L50" s="15"/>
      <c r="M50" s="17">
        <f>J50+I50</f>
        <v>209.95</v>
      </c>
      <c r="N50" s="15">
        <v>10.5</v>
      </c>
      <c r="O50" s="15">
        <v>14.7</v>
      </c>
      <c r="P50" s="16">
        <f t="shared" si="7"/>
        <v>25.2</v>
      </c>
      <c r="Q50" s="8" t="s">
        <v>19</v>
      </c>
      <c r="R50" s="15">
        <f t="shared" si="8"/>
        <v>235.14999999999998</v>
      </c>
      <c r="S50" s="8" t="s">
        <v>50</v>
      </c>
      <c r="T50" s="13">
        <v>50334</v>
      </c>
    </row>
    <row r="51" spans="1:20" ht="19.2" customHeight="1" x14ac:dyDescent="0.3">
      <c r="A51" s="10">
        <v>46013</v>
      </c>
      <c r="B51" s="8" t="s">
        <v>95</v>
      </c>
      <c r="C51" s="20">
        <v>1122</v>
      </c>
      <c r="D51" s="21">
        <v>3600265692</v>
      </c>
      <c r="E51" s="13">
        <v>696232</v>
      </c>
      <c r="F51" s="8" t="s">
        <v>35</v>
      </c>
      <c r="G51" s="8"/>
      <c r="H51" s="8" t="str">
        <f>+VLOOKUP(F51,Categories!A:B,2,)</f>
        <v>Inspection (CVI)</v>
      </c>
      <c r="I51" s="15">
        <v>669.95</v>
      </c>
      <c r="J51" s="15">
        <v>0</v>
      </c>
      <c r="K51" s="15">
        <v>0</v>
      </c>
      <c r="L51" s="15"/>
      <c r="M51" s="17">
        <f>J51+I51</f>
        <v>669.95</v>
      </c>
      <c r="N51" s="15">
        <v>33.5</v>
      </c>
      <c r="O51" s="15">
        <v>46.9</v>
      </c>
      <c r="P51" s="16">
        <f t="shared" si="7"/>
        <v>80.400000000000006</v>
      </c>
      <c r="Q51" s="8" t="s">
        <v>19</v>
      </c>
      <c r="R51" s="15">
        <f t="shared" si="8"/>
        <v>750.35</v>
      </c>
      <c r="S51" s="8" t="s">
        <v>50</v>
      </c>
      <c r="T51" s="13">
        <v>50998</v>
      </c>
    </row>
    <row r="52" spans="1:20" ht="19.2" customHeight="1" x14ac:dyDescent="0.3">
      <c r="A52" s="10">
        <v>46013</v>
      </c>
      <c r="B52" s="8" t="s">
        <v>95</v>
      </c>
      <c r="C52" s="20">
        <v>1122</v>
      </c>
      <c r="D52" s="21">
        <v>3600265693</v>
      </c>
      <c r="E52" s="13">
        <v>378947</v>
      </c>
      <c r="F52" s="8" t="s">
        <v>54</v>
      </c>
      <c r="G52" s="8"/>
      <c r="H52" s="8" t="str">
        <f>+VLOOKUP(F52,Categories!A:B,2,)</f>
        <v>Maintenance &amp; Repair</v>
      </c>
      <c r="I52" s="15">
        <v>718.2</v>
      </c>
      <c r="J52" s="15">
        <v>1641.94</v>
      </c>
      <c r="K52" s="15">
        <v>7.72</v>
      </c>
      <c r="L52" s="15"/>
      <c r="M52" s="14">
        <v>2367.86</v>
      </c>
      <c r="N52" s="15">
        <v>118.39</v>
      </c>
      <c r="O52" s="15">
        <v>165.75</v>
      </c>
      <c r="P52" s="16">
        <v>284.14</v>
      </c>
      <c r="Q52" s="8" t="s">
        <v>19</v>
      </c>
      <c r="R52" s="1">
        <v>2652</v>
      </c>
      <c r="S52" s="8" t="s">
        <v>50</v>
      </c>
      <c r="T52" s="13">
        <v>50816</v>
      </c>
    </row>
    <row r="53" spans="1:20" ht="19.2" customHeight="1" x14ac:dyDescent="0.3">
      <c r="A53" s="10">
        <v>46013</v>
      </c>
      <c r="B53" s="8" t="s">
        <v>95</v>
      </c>
      <c r="C53" s="20">
        <v>1122</v>
      </c>
      <c r="D53" s="21">
        <v>3600265703</v>
      </c>
      <c r="E53" s="13">
        <v>378746</v>
      </c>
      <c r="F53" s="8" t="s">
        <v>49</v>
      </c>
      <c r="G53" s="8"/>
      <c r="H53" s="8" t="str">
        <f>+VLOOKUP(F53,Categories!A:B,2,)</f>
        <v>Maintenance &amp; Repair</v>
      </c>
      <c r="I53" s="15">
        <v>4027.77</v>
      </c>
      <c r="J53" s="15">
        <v>1054.8499999999999</v>
      </c>
      <c r="K53" s="15"/>
      <c r="L53" s="15">
        <v>4938.41</v>
      </c>
      <c r="M53" s="17">
        <v>144.21000000000004</v>
      </c>
      <c r="N53" s="15">
        <v>254.13</v>
      </c>
      <c r="O53" s="15">
        <v>355.79</v>
      </c>
      <c r="P53" s="15">
        <v>609.92000000000007</v>
      </c>
      <c r="Q53" s="8" t="s">
        <v>19</v>
      </c>
      <c r="R53" s="15">
        <v>754.13000000000011</v>
      </c>
      <c r="S53" s="8" t="s">
        <v>50</v>
      </c>
      <c r="T53" s="13">
        <v>50388</v>
      </c>
    </row>
    <row r="54" spans="1:20" ht="19.2" customHeight="1" x14ac:dyDescent="0.3">
      <c r="A54" s="10">
        <v>46013</v>
      </c>
      <c r="B54" s="8" t="s">
        <v>95</v>
      </c>
      <c r="C54" s="20">
        <v>1122</v>
      </c>
      <c r="D54" s="21">
        <v>3600265703</v>
      </c>
      <c r="E54" s="13">
        <v>378817</v>
      </c>
      <c r="F54" s="8" t="s">
        <v>55</v>
      </c>
      <c r="G54" s="8"/>
      <c r="H54" s="8" t="str">
        <f>+VLOOKUP(F54,Categories!A:B,2,)</f>
        <v>Financial / Admin</v>
      </c>
      <c r="I54" s="15" t="s">
        <v>56</v>
      </c>
      <c r="J54" s="15">
        <v>-23</v>
      </c>
      <c r="K54" s="15"/>
      <c r="L54" s="15"/>
      <c r="M54" s="17">
        <v>-23</v>
      </c>
      <c r="N54" s="15">
        <v>0</v>
      </c>
      <c r="O54" s="15">
        <v>0</v>
      </c>
      <c r="P54" s="15">
        <v>0</v>
      </c>
      <c r="Q54" s="8" t="s">
        <v>0</v>
      </c>
      <c r="R54" s="15">
        <v>-23</v>
      </c>
      <c r="S54" s="8" t="s">
        <v>50</v>
      </c>
      <c r="T54" s="13">
        <v>50388</v>
      </c>
    </row>
    <row r="55" spans="1:20" ht="19.2" customHeight="1" x14ac:dyDescent="0.3">
      <c r="A55" s="10">
        <v>46014</v>
      </c>
      <c r="B55" t="s">
        <v>98</v>
      </c>
      <c r="C55" s="20">
        <v>1117</v>
      </c>
      <c r="D55" s="21">
        <v>3600265714</v>
      </c>
      <c r="E55" s="13">
        <v>386103</v>
      </c>
      <c r="F55" s="8" t="s">
        <v>57</v>
      </c>
      <c r="G55" s="8"/>
      <c r="H55" s="8" t="str">
        <f>+VLOOKUP(F55,Categories!A:B,2,)</f>
        <v>Maintenance &amp; Repair</v>
      </c>
      <c r="I55" s="15">
        <v>184.95</v>
      </c>
      <c r="J55" s="15">
        <v>22.19</v>
      </c>
      <c r="K55" s="15"/>
      <c r="L55" s="15"/>
      <c r="M55" s="17">
        <v>207.14</v>
      </c>
      <c r="N55" s="15">
        <v>10.356999999999999</v>
      </c>
      <c r="O55" s="15">
        <v>14.4998</v>
      </c>
      <c r="P55" s="15">
        <v>24.8568</v>
      </c>
      <c r="Q55" s="8" t="s">
        <v>19</v>
      </c>
      <c r="R55" s="15">
        <v>232</v>
      </c>
      <c r="S55" s="8" t="s">
        <v>50</v>
      </c>
      <c r="T55" s="13">
        <v>96921</v>
      </c>
    </row>
    <row r="56" spans="1:20" ht="19.2" customHeight="1" x14ac:dyDescent="0.3">
      <c r="A56" s="6">
        <v>45952</v>
      </c>
      <c r="B56" s="8" t="s">
        <v>95</v>
      </c>
      <c r="C56" s="20">
        <v>1122</v>
      </c>
      <c r="D56" s="21">
        <v>3600260261</v>
      </c>
      <c r="E56" s="23">
        <v>684408</v>
      </c>
      <c r="F56" s="7" t="s">
        <v>58</v>
      </c>
      <c r="G56" s="7"/>
      <c r="H56" s="8" t="str">
        <f>+VLOOKUP(F56,Categories!A:B,2,)</f>
        <v>Tires &amp; Wheels</v>
      </c>
      <c r="I56" s="1">
        <v>1775.08</v>
      </c>
      <c r="J56" s="1">
        <v>26</v>
      </c>
      <c r="M56" s="14">
        <v>1801.08</v>
      </c>
      <c r="N56" s="1">
        <v>90.05</v>
      </c>
      <c r="O56" s="1">
        <v>126.08</v>
      </c>
      <c r="P56" s="1">
        <v>216.13</v>
      </c>
      <c r="Q56" t="s">
        <v>19</v>
      </c>
      <c r="R56" s="1">
        <v>2017.21</v>
      </c>
      <c r="S56" s="8" t="s">
        <v>50</v>
      </c>
      <c r="T56" s="20">
        <v>27970</v>
      </c>
    </row>
    <row r="57" spans="1:20" ht="19.2" customHeight="1" x14ac:dyDescent="0.3">
      <c r="A57" s="6">
        <v>45952</v>
      </c>
      <c r="B57" s="8" t="s">
        <v>95</v>
      </c>
      <c r="C57" s="20">
        <v>1122</v>
      </c>
      <c r="D57" s="21">
        <v>3600260261</v>
      </c>
      <c r="E57" s="23">
        <v>688284</v>
      </c>
      <c r="F57" s="7" t="s">
        <v>59</v>
      </c>
      <c r="G57" s="7"/>
      <c r="H57" s="8" t="str">
        <f>+VLOOKUP(F57,Categories!A:B,2,)</f>
        <v>Fuel &amp; Recharge</v>
      </c>
      <c r="I57" s="1">
        <v>382.8</v>
      </c>
      <c r="J57" s="1">
        <v>25</v>
      </c>
      <c r="M57" s="14">
        <v>407.8</v>
      </c>
      <c r="N57" s="1">
        <v>20.39</v>
      </c>
      <c r="O57" s="1">
        <v>28.55</v>
      </c>
      <c r="P57" s="1">
        <v>48.94</v>
      </c>
      <c r="Q57" t="s">
        <v>19</v>
      </c>
      <c r="R57" s="1">
        <v>456.74</v>
      </c>
      <c r="S57" s="8" t="s">
        <v>50</v>
      </c>
      <c r="T57" s="20">
        <v>58201</v>
      </c>
    </row>
    <row r="58" spans="1:20" ht="19.2" customHeight="1" x14ac:dyDescent="0.3">
      <c r="A58" s="6">
        <v>45952</v>
      </c>
      <c r="B58" s="8" t="s">
        <v>95</v>
      </c>
      <c r="C58" s="20">
        <v>1122</v>
      </c>
      <c r="D58" s="20" t="s">
        <v>61</v>
      </c>
      <c r="E58" s="23">
        <v>377642</v>
      </c>
      <c r="F58" s="7" t="s">
        <v>60</v>
      </c>
      <c r="G58" s="7"/>
      <c r="H58" s="8" t="str">
        <f>+VLOOKUP(F58,Categories!A:B,2,)</f>
        <v>Maintenance &amp; Repair</v>
      </c>
      <c r="I58" s="1">
        <v>3272.15</v>
      </c>
      <c r="J58" s="1">
        <v>517.94000000000005</v>
      </c>
      <c r="K58" s="1"/>
      <c r="L58" s="1"/>
      <c r="M58" s="14">
        <v>3790.09</v>
      </c>
      <c r="N58" s="1">
        <v>189.51</v>
      </c>
      <c r="O58" s="1">
        <v>265.31</v>
      </c>
      <c r="P58" s="1">
        <v>454.82</v>
      </c>
      <c r="Q58" t="s">
        <v>19</v>
      </c>
      <c r="R58" s="2">
        <v>2689.5099999999998</v>
      </c>
      <c r="S58" s="8" t="s">
        <v>50</v>
      </c>
      <c r="T58" s="20">
        <v>50816</v>
      </c>
    </row>
    <row r="59" spans="1:20" ht="19.2" customHeight="1" x14ac:dyDescent="0.3">
      <c r="A59" s="6">
        <v>45953</v>
      </c>
      <c r="B59" s="8" t="s">
        <v>95</v>
      </c>
      <c r="C59" s="20">
        <v>1122</v>
      </c>
      <c r="D59" s="21">
        <v>3600260302</v>
      </c>
      <c r="E59" s="20">
        <v>687801</v>
      </c>
      <c r="F59" t="s">
        <v>62</v>
      </c>
      <c r="H59" s="8" t="str">
        <f>+VLOOKUP(F59,Categories!A:B,2,)</f>
        <v>Fuel &amp; Recharge</v>
      </c>
      <c r="I59" s="4">
        <v>75</v>
      </c>
      <c r="J59" s="4">
        <v>0</v>
      </c>
      <c r="M59" s="4">
        <v>75</v>
      </c>
      <c r="N59" s="4">
        <v>0</v>
      </c>
      <c r="O59" s="4">
        <v>0</v>
      </c>
      <c r="P59" s="4">
        <v>0</v>
      </c>
      <c r="Q59" t="s">
        <v>63</v>
      </c>
      <c r="R59" s="4">
        <v>75</v>
      </c>
      <c r="S59" s="8" t="s">
        <v>50</v>
      </c>
      <c r="T59" s="20">
        <v>94807</v>
      </c>
    </row>
    <row r="60" spans="1:20" ht="19.2" customHeight="1" x14ac:dyDescent="0.3">
      <c r="A60" s="6">
        <v>45953</v>
      </c>
      <c r="B60" s="8" t="s">
        <v>97</v>
      </c>
      <c r="C60" s="20">
        <v>1078</v>
      </c>
      <c r="D60" s="21">
        <v>3600260303</v>
      </c>
      <c r="E60" s="20">
        <v>347951</v>
      </c>
      <c r="F60" t="s">
        <v>64</v>
      </c>
      <c r="H60" s="8" t="str">
        <f>+VLOOKUP(F60,Categories!A:B,2,)</f>
        <v>Maintenance &amp; Repair</v>
      </c>
      <c r="I60" s="4">
        <v>1109.82</v>
      </c>
      <c r="J60" s="4">
        <v>0</v>
      </c>
      <c r="M60" s="4">
        <v>1109.82</v>
      </c>
      <c r="N60" s="4">
        <v>55.49</v>
      </c>
      <c r="O60" s="4">
        <v>0</v>
      </c>
      <c r="P60" s="4">
        <v>55.49</v>
      </c>
      <c r="Q60" t="s">
        <v>45</v>
      </c>
      <c r="R60" s="4">
        <v>1165.31</v>
      </c>
      <c r="S60" s="8" t="s">
        <v>50</v>
      </c>
      <c r="T60" s="20">
        <v>49855</v>
      </c>
    </row>
    <row r="61" spans="1:20" ht="19.2" customHeight="1" x14ac:dyDescent="0.3">
      <c r="A61" s="6">
        <v>45953</v>
      </c>
      <c r="B61" s="8" t="s">
        <v>95</v>
      </c>
      <c r="C61" s="20">
        <v>1122</v>
      </c>
      <c r="D61" s="21">
        <v>3600260337</v>
      </c>
      <c r="E61" s="20">
        <v>690239</v>
      </c>
      <c r="F61" t="s">
        <v>65</v>
      </c>
      <c r="H61" s="8" t="str">
        <f>+VLOOKUP(F61,Categories!A:B,2,)</f>
        <v>Fuel &amp; Recharge</v>
      </c>
      <c r="I61" s="4">
        <v>25</v>
      </c>
      <c r="J61" s="4">
        <v>0</v>
      </c>
      <c r="M61" s="4">
        <v>25</v>
      </c>
      <c r="N61" s="4">
        <v>0</v>
      </c>
      <c r="O61" s="4">
        <v>0</v>
      </c>
      <c r="P61" s="4">
        <v>0</v>
      </c>
      <c r="Q61" t="s">
        <v>63</v>
      </c>
      <c r="R61" s="4">
        <v>25</v>
      </c>
      <c r="S61" s="8" t="s">
        <v>50</v>
      </c>
      <c r="T61" s="20">
        <v>50388</v>
      </c>
    </row>
    <row r="62" spans="1:20" ht="19.2" customHeight="1" x14ac:dyDescent="0.3">
      <c r="A62" s="6">
        <v>45953</v>
      </c>
      <c r="B62" s="8" t="s">
        <v>95</v>
      </c>
      <c r="C62" s="20">
        <v>1122</v>
      </c>
      <c r="D62" s="21">
        <v>3600260337</v>
      </c>
      <c r="E62" s="20">
        <v>689922</v>
      </c>
      <c r="F62" t="s">
        <v>66</v>
      </c>
      <c r="H62" s="8" t="str">
        <f>+VLOOKUP(F62,Categories!A:B,2,)</f>
        <v>Fuel &amp; Recharge</v>
      </c>
      <c r="I62" s="4">
        <v>45</v>
      </c>
      <c r="M62" s="4">
        <v>45</v>
      </c>
      <c r="P62" s="4">
        <v>0</v>
      </c>
      <c r="Q62" t="s">
        <v>63</v>
      </c>
      <c r="R62" s="4">
        <v>45</v>
      </c>
      <c r="S62" s="8" t="s">
        <v>50</v>
      </c>
      <c r="T62" s="20">
        <v>51224</v>
      </c>
    </row>
    <row r="63" spans="1:20" ht="19.2" customHeight="1" x14ac:dyDescent="0.3">
      <c r="A63" s="6">
        <v>45882</v>
      </c>
      <c r="B63" s="8" t="s">
        <v>97</v>
      </c>
      <c r="C63" s="20">
        <v>1078</v>
      </c>
      <c r="D63" s="21">
        <v>3600255097</v>
      </c>
      <c r="E63" s="20">
        <v>321925</v>
      </c>
      <c r="F63" t="s">
        <v>67</v>
      </c>
      <c r="H63" s="8" t="str">
        <f>+VLOOKUP(F63,Categories!A:B,2,)</f>
        <v>Hardware &amp; OTA</v>
      </c>
      <c r="I63">
        <v>171.95</v>
      </c>
      <c r="J63"/>
      <c r="K63"/>
      <c r="L63"/>
      <c r="M63">
        <v>171.95</v>
      </c>
      <c r="N63">
        <v>8.6</v>
      </c>
      <c r="O63">
        <v>12.04</v>
      </c>
      <c r="P63">
        <v>20.64</v>
      </c>
      <c r="Q63" t="s">
        <v>19</v>
      </c>
      <c r="R63">
        <v>192.58999999999997</v>
      </c>
      <c r="S63" t="s">
        <v>27</v>
      </c>
      <c r="T63" s="20">
        <v>11764</v>
      </c>
    </row>
    <row r="64" spans="1:20" ht="19.2" customHeight="1" x14ac:dyDescent="0.3">
      <c r="A64" s="6">
        <v>45882</v>
      </c>
      <c r="B64" s="8" t="s">
        <v>97</v>
      </c>
      <c r="C64" s="20">
        <v>1078</v>
      </c>
      <c r="D64" s="21">
        <v>3600255097</v>
      </c>
      <c r="E64" s="20">
        <v>337792</v>
      </c>
      <c r="F64" t="s">
        <v>68</v>
      </c>
      <c r="H64" s="8" t="str">
        <f>+VLOOKUP(F64,Categories!A:B,2,)</f>
        <v>Financial / Admin</v>
      </c>
      <c r="I64">
        <v>132.28</v>
      </c>
      <c r="J64"/>
      <c r="K64"/>
      <c r="L64"/>
      <c r="M64">
        <v>132.28</v>
      </c>
      <c r="N64">
        <v>0</v>
      </c>
      <c r="O64">
        <v>0</v>
      </c>
      <c r="P64">
        <v>0</v>
      </c>
      <c r="Q64" t="s">
        <v>63</v>
      </c>
      <c r="R64">
        <v>132.28</v>
      </c>
      <c r="S64" t="s">
        <v>27</v>
      </c>
      <c r="T64" s="20">
        <v>11764</v>
      </c>
    </row>
    <row r="65" spans="1:20" ht="19.2" customHeight="1" x14ac:dyDescent="0.3">
      <c r="A65" s="6">
        <v>45882</v>
      </c>
      <c r="B65" s="8" t="s">
        <v>96</v>
      </c>
      <c r="C65" s="20">
        <v>1088</v>
      </c>
      <c r="D65" s="21">
        <v>3600255098</v>
      </c>
      <c r="E65" s="20">
        <v>531588</v>
      </c>
      <c r="F65" t="s">
        <v>69</v>
      </c>
      <c r="H65" s="8" t="str">
        <f>+VLOOKUP(F65,Categories!A:B,2,)</f>
        <v>Hardware &amp; OTA</v>
      </c>
      <c r="I65" s="4">
        <v>165</v>
      </c>
      <c r="J65" s="4">
        <v>10.99</v>
      </c>
      <c r="M65" s="4">
        <v>175.99</v>
      </c>
      <c r="N65" s="4">
        <v>8.8000000000000007</v>
      </c>
      <c r="P65" s="4">
        <v>8.8000000000000007</v>
      </c>
      <c r="Q65" t="s">
        <v>7</v>
      </c>
      <c r="R65" s="4">
        <v>184.79000000000002</v>
      </c>
      <c r="S65" s="8" t="s">
        <v>50</v>
      </c>
      <c r="T65" s="20" t="s">
        <v>110</v>
      </c>
    </row>
    <row r="66" spans="1:20" ht="19.2" customHeight="1" x14ac:dyDescent="0.3">
      <c r="A66" s="6">
        <v>45882</v>
      </c>
      <c r="B66" s="8" t="s">
        <v>96</v>
      </c>
      <c r="C66" s="20">
        <v>1088</v>
      </c>
      <c r="D66" s="21">
        <v>3600255098</v>
      </c>
      <c r="E66" s="20">
        <v>531587</v>
      </c>
      <c r="F66" t="s">
        <v>69</v>
      </c>
      <c r="H66" s="8" t="str">
        <f>+VLOOKUP(F66,Categories!A:B,2,)</f>
        <v>Hardware &amp; OTA</v>
      </c>
      <c r="I66" s="4">
        <v>165</v>
      </c>
      <c r="J66" s="4">
        <v>10.99</v>
      </c>
      <c r="M66" s="4">
        <v>175.99</v>
      </c>
      <c r="N66" s="4">
        <v>8.8000000000000007</v>
      </c>
      <c r="O66" s="4">
        <v>0</v>
      </c>
      <c r="P66" s="4">
        <v>8.8000000000000007</v>
      </c>
      <c r="Q66" t="s">
        <v>7</v>
      </c>
      <c r="R66" s="4">
        <v>184.79000000000002</v>
      </c>
      <c r="S66" s="8" t="s">
        <v>50</v>
      </c>
      <c r="T66" s="20" t="s">
        <v>109</v>
      </c>
    </row>
    <row r="67" spans="1:20" ht="19.2" customHeight="1" x14ac:dyDescent="0.3">
      <c r="A67" s="6">
        <v>45882</v>
      </c>
      <c r="B67" s="8" t="s">
        <v>96</v>
      </c>
      <c r="C67" s="20">
        <v>1088</v>
      </c>
      <c r="D67" s="21">
        <v>3600255098</v>
      </c>
      <c r="E67" s="20">
        <v>528857</v>
      </c>
      <c r="F67" t="s">
        <v>70</v>
      </c>
      <c r="H67" s="8" t="str">
        <f>+VLOOKUP(F67,Categories!A:B,2,)</f>
        <v>Maintenance &amp; Repair</v>
      </c>
      <c r="I67" s="4">
        <v>89.9</v>
      </c>
      <c r="J67" s="4">
        <v>8.99</v>
      </c>
      <c r="M67" s="4">
        <v>98.89</v>
      </c>
      <c r="N67" s="4">
        <v>4.95</v>
      </c>
      <c r="O67" s="4">
        <v>6.92</v>
      </c>
      <c r="P67" s="4">
        <v>11.870000000000001</v>
      </c>
      <c r="Q67" t="s">
        <v>19</v>
      </c>
      <c r="R67" s="4">
        <v>110.76</v>
      </c>
      <c r="S67" s="8" t="s">
        <v>50</v>
      </c>
      <c r="T67" s="20">
        <v>23415</v>
      </c>
    </row>
    <row r="68" spans="1:20" ht="19.2" customHeight="1" x14ac:dyDescent="0.3">
      <c r="A68" s="6">
        <v>45882</v>
      </c>
      <c r="B68" s="8" t="s">
        <v>96</v>
      </c>
      <c r="C68" s="20">
        <v>1088</v>
      </c>
      <c r="D68" s="21">
        <v>3600255098</v>
      </c>
      <c r="E68" s="20">
        <v>528846</v>
      </c>
      <c r="F68" t="s">
        <v>71</v>
      </c>
      <c r="H68" s="8" t="str">
        <f>+VLOOKUP(F68,Categories!A:B,2,)</f>
        <v>Tires &amp; Wheels</v>
      </c>
      <c r="I68" s="4">
        <v>49.5</v>
      </c>
      <c r="J68" s="4">
        <v>4.95</v>
      </c>
      <c r="M68" s="4">
        <v>54.45</v>
      </c>
      <c r="N68" s="4">
        <v>2.73</v>
      </c>
      <c r="O68" s="4">
        <v>3.82</v>
      </c>
      <c r="P68" s="4">
        <v>6.55</v>
      </c>
      <c r="Q68" t="s">
        <v>19</v>
      </c>
      <c r="R68" s="4">
        <v>61</v>
      </c>
      <c r="S68" s="8" t="s">
        <v>50</v>
      </c>
      <c r="T68" s="20" t="s">
        <v>110</v>
      </c>
    </row>
    <row r="69" spans="1:20" ht="19.2" customHeight="1" x14ac:dyDescent="0.3">
      <c r="A69" s="6">
        <v>45882</v>
      </c>
      <c r="B69" t="s">
        <v>72</v>
      </c>
      <c r="D69" s="21">
        <v>3600255096</v>
      </c>
      <c r="E69" s="20">
        <v>394414</v>
      </c>
      <c r="F69" t="s">
        <v>73</v>
      </c>
      <c r="H69" s="8" t="str">
        <f>+VLOOKUP(F69,Categories!A:B,2,)</f>
        <v>Tires &amp; Wheels</v>
      </c>
      <c r="I69">
        <v>562</v>
      </c>
      <c r="J69">
        <v>471.87</v>
      </c>
      <c r="K69"/>
      <c r="L69"/>
      <c r="M69">
        <v>1033.8699999999999</v>
      </c>
      <c r="N69">
        <v>51.69</v>
      </c>
      <c r="O69">
        <v>72.37</v>
      </c>
      <c r="P69">
        <v>124.06</v>
      </c>
      <c r="Q69" t="s">
        <v>19</v>
      </c>
      <c r="R69">
        <v>1157.9299999999998</v>
      </c>
      <c r="S69" t="s">
        <v>27</v>
      </c>
      <c r="T69" s="20">
        <v>11764</v>
      </c>
    </row>
    <row r="70" spans="1:20" ht="19.2" customHeight="1" x14ac:dyDescent="0.3">
      <c r="A70" s="6">
        <v>45820</v>
      </c>
      <c r="B70" s="8" t="s">
        <v>97</v>
      </c>
      <c r="C70" s="20">
        <v>1078</v>
      </c>
      <c r="D70" s="20">
        <v>3600251844</v>
      </c>
      <c r="E70" s="20" t="s">
        <v>61</v>
      </c>
      <c r="F70" t="s">
        <v>74</v>
      </c>
      <c r="H70" s="8" t="str">
        <f>+VLOOKUP(F70,Categories!A:B,2,)</f>
        <v>Maintenance &amp; Repair</v>
      </c>
      <c r="I70">
        <v>10000</v>
      </c>
      <c r="J70"/>
      <c r="K70"/>
      <c r="L70"/>
      <c r="M70">
        <v>10000</v>
      </c>
      <c r="N70">
        <v>1300</v>
      </c>
      <c r="O70"/>
      <c r="P70">
        <v>1300</v>
      </c>
      <c r="Q70" t="s">
        <v>75</v>
      </c>
      <c r="R70">
        <v>11300</v>
      </c>
      <c r="S70" t="s">
        <v>27</v>
      </c>
      <c r="T70" s="20" t="s">
        <v>114</v>
      </c>
    </row>
    <row r="71" spans="1:20" ht="19.2" customHeight="1" x14ac:dyDescent="0.3">
      <c r="A71" s="6">
        <v>45862</v>
      </c>
      <c r="B71" s="8" t="s">
        <v>95</v>
      </c>
      <c r="C71" s="20">
        <v>1122</v>
      </c>
      <c r="D71" s="21">
        <v>3600254068</v>
      </c>
      <c r="E71" s="20">
        <v>679480</v>
      </c>
      <c r="F71" t="s">
        <v>76</v>
      </c>
      <c r="H71" s="8" t="str">
        <f>+VLOOKUP(F71,Categories!A:B,2,)</f>
        <v>Maintenance &amp; Repair</v>
      </c>
      <c r="I71">
        <v>55.2</v>
      </c>
      <c r="J71">
        <v>280.49</v>
      </c>
      <c r="K71"/>
      <c r="L71"/>
      <c r="M71">
        <v>335.69</v>
      </c>
      <c r="N71">
        <v>16.78</v>
      </c>
      <c r="O71">
        <v>23.49</v>
      </c>
      <c r="P71">
        <v>40.269999999999996</v>
      </c>
      <c r="Q71" t="s">
        <v>7</v>
      </c>
      <c r="R71">
        <v>375.96</v>
      </c>
      <c r="S71" t="s">
        <v>77</v>
      </c>
      <c r="T71" s="20">
        <v>11789</v>
      </c>
    </row>
    <row r="72" spans="1:20" ht="19.2" customHeight="1" x14ac:dyDescent="0.3">
      <c r="A72" s="6">
        <v>45820</v>
      </c>
      <c r="B72" t="s">
        <v>98</v>
      </c>
      <c r="C72" s="20">
        <v>1117</v>
      </c>
      <c r="D72" s="21">
        <v>3600250023</v>
      </c>
      <c r="E72" s="20">
        <v>374012</v>
      </c>
      <c r="F72" t="s">
        <v>78</v>
      </c>
      <c r="H72" s="8" t="str">
        <f>+VLOOKUP(F72,Categories!A:B,2,)</f>
        <v>Maintenance &amp; Repair</v>
      </c>
      <c r="I72" s="4">
        <v>462.43</v>
      </c>
      <c r="J72" s="4">
        <v>28.07</v>
      </c>
      <c r="M72" s="5">
        <v>490.5</v>
      </c>
      <c r="N72" s="4">
        <v>24.53</v>
      </c>
      <c r="O72" s="4">
        <v>34.340000000000003</v>
      </c>
      <c r="P72" s="4">
        <v>58.870000000000005</v>
      </c>
      <c r="Q72" t="s">
        <v>7</v>
      </c>
      <c r="R72" s="4">
        <v>549.37</v>
      </c>
      <c r="S72" s="8" t="s">
        <v>50</v>
      </c>
      <c r="T72" s="27">
        <v>58341</v>
      </c>
    </row>
    <row r="73" spans="1:20" ht="19.2" customHeight="1" x14ac:dyDescent="0.3">
      <c r="A73" s="6">
        <v>45820</v>
      </c>
      <c r="B73" s="8" t="s">
        <v>95</v>
      </c>
      <c r="C73" s="20">
        <v>1122</v>
      </c>
      <c r="D73" s="21">
        <v>3600250022</v>
      </c>
      <c r="E73" s="20">
        <v>675038</v>
      </c>
      <c r="F73" t="s">
        <v>79</v>
      </c>
      <c r="H73" s="8" t="str">
        <f>+VLOOKUP(F73,Categories!A:B,2,)</f>
        <v>Fuel &amp; Recharge</v>
      </c>
      <c r="I73" s="4">
        <v>33.75</v>
      </c>
      <c r="J73" s="4">
        <v>25</v>
      </c>
      <c r="M73" s="5">
        <v>58.75</v>
      </c>
      <c r="N73" s="4">
        <v>2.94</v>
      </c>
      <c r="O73" s="4">
        <v>4.1100000000000003</v>
      </c>
      <c r="P73" s="4">
        <v>7.0500000000000007</v>
      </c>
      <c r="Q73" t="s">
        <v>7</v>
      </c>
      <c r="R73" s="4">
        <v>65.8</v>
      </c>
      <c r="S73" t="s">
        <v>77</v>
      </c>
      <c r="T73" s="27">
        <v>11786</v>
      </c>
    </row>
    <row r="74" spans="1:20" ht="19.2" customHeight="1" x14ac:dyDescent="0.3">
      <c r="A74" s="6">
        <v>45820</v>
      </c>
      <c r="B74" t="s">
        <v>98</v>
      </c>
      <c r="C74" s="20">
        <v>1117</v>
      </c>
      <c r="D74" s="21">
        <v>3600250067</v>
      </c>
      <c r="E74" s="20">
        <v>372562</v>
      </c>
      <c r="F74" t="s">
        <v>78</v>
      </c>
      <c r="H74" s="8" t="str">
        <f>+VLOOKUP(F74,Categories!A:B,2,)</f>
        <v>Maintenance &amp; Repair</v>
      </c>
      <c r="I74" s="4">
        <v>215.94</v>
      </c>
      <c r="J74" s="4">
        <v>320.42</v>
      </c>
      <c r="M74" s="5">
        <v>536.36</v>
      </c>
      <c r="N74" s="4">
        <v>26.82</v>
      </c>
      <c r="O74" s="4">
        <v>37.549999999999997</v>
      </c>
      <c r="P74" s="4">
        <v>64.37</v>
      </c>
      <c r="Q74" t="s">
        <v>7</v>
      </c>
      <c r="R74" s="4">
        <v>600.73</v>
      </c>
      <c r="S74" t="s">
        <v>27</v>
      </c>
      <c r="T74" s="13" t="s">
        <v>41</v>
      </c>
    </row>
    <row r="75" spans="1:20" ht="19.2" customHeight="1" x14ac:dyDescent="0.3">
      <c r="A75" s="6">
        <v>45834</v>
      </c>
      <c r="B75" t="s">
        <v>98</v>
      </c>
      <c r="C75" s="20">
        <v>1117</v>
      </c>
      <c r="D75" s="20">
        <v>3600251984</v>
      </c>
      <c r="E75" s="23">
        <v>371588</v>
      </c>
      <c r="F75" s="7" t="s">
        <v>76</v>
      </c>
      <c r="G75" s="7"/>
      <c r="H75" s="8" t="str">
        <f>+VLOOKUP(F75,Categories!A:B,2,)</f>
        <v>Maintenance &amp; Repair</v>
      </c>
      <c r="I75" s="1">
        <v>300.47000000000003</v>
      </c>
      <c r="J75" s="1">
        <v>8.64</v>
      </c>
      <c r="K75" s="1"/>
      <c r="L75" s="1"/>
      <c r="M75" s="14">
        <v>309.11</v>
      </c>
      <c r="N75" s="1">
        <v>15.46</v>
      </c>
      <c r="O75" s="1">
        <v>21.64</v>
      </c>
      <c r="P75" s="1">
        <v>37.1</v>
      </c>
      <c r="Q75" t="s">
        <v>19</v>
      </c>
      <c r="R75" s="1">
        <v>346.21000000000004</v>
      </c>
      <c r="S75" s="8" t="s">
        <v>50</v>
      </c>
      <c r="T75" s="20">
        <v>58341</v>
      </c>
    </row>
    <row r="76" spans="1:20" ht="19.2" customHeight="1" x14ac:dyDescent="0.3">
      <c r="A76" s="6">
        <v>45834</v>
      </c>
      <c r="B76" t="s">
        <v>98</v>
      </c>
      <c r="C76" s="20">
        <v>1117</v>
      </c>
      <c r="D76" s="20">
        <v>3600251984</v>
      </c>
      <c r="E76" s="23">
        <v>374753</v>
      </c>
      <c r="F76" s="7" t="s">
        <v>76</v>
      </c>
      <c r="G76" s="7"/>
      <c r="H76" s="8" t="str">
        <f>+VLOOKUP(F76,Categories!A:B,2,)</f>
        <v>Maintenance &amp; Repair</v>
      </c>
      <c r="I76" s="1">
        <v>426.09000000000003</v>
      </c>
      <c r="J76" s="1">
        <v>15.12</v>
      </c>
      <c r="K76" s="1"/>
      <c r="L76" s="1"/>
      <c r="M76" s="14">
        <v>441.21000000000004</v>
      </c>
      <c r="N76" s="1">
        <v>22.06</v>
      </c>
      <c r="O76" s="1">
        <v>30.88</v>
      </c>
      <c r="P76" s="1">
        <v>52.94</v>
      </c>
      <c r="Q76" t="s">
        <v>19</v>
      </c>
      <c r="R76" s="1">
        <v>494.15000000000003</v>
      </c>
      <c r="S76" t="s">
        <v>27</v>
      </c>
      <c r="T76" s="20">
        <v>11766</v>
      </c>
    </row>
    <row r="77" spans="1:20" ht="19.2" customHeight="1" x14ac:dyDescent="0.3">
      <c r="A77" s="6">
        <v>45834</v>
      </c>
      <c r="B77" t="s">
        <v>98</v>
      </c>
      <c r="C77" s="20">
        <v>1117</v>
      </c>
      <c r="D77" s="20">
        <v>3600251984</v>
      </c>
      <c r="E77" s="20">
        <v>374990</v>
      </c>
      <c r="F77" t="s">
        <v>80</v>
      </c>
      <c r="H77" s="8" t="str">
        <f>+VLOOKUP(F77,Categories!A:B,2,)</f>
        <v>Tires &amp; Wheels</v>
      </c>
      <c r="I77" s="4">
        <v>442.97999999999996</v>
      </c>
      <c r="J77" s="4">
        <v>12.49</v>
      </c>
      <c r="M77" s="5">
        <v>455.46999999999997</v>
      </c>
      <c r="N77" s="4">
        <v>22.77</v>
      </c>
      <c r="O77" s="4">
        <v>31.88</v>
      </c>
      <c r="P77" s="4">
        <v>54.65</v>
      </c>
      <c r="Q77" t="s">
        <v>19</v>
      </c>
      <c r="R77" s="4">
        <v>510.11999999999995</v>
      </c>
      <c r="S77" s="8" t="s">
        <v>50</v>
      </c>
      <c r="T77" s="27">
        <v>58341</v>
      </c>
    </row>
    <row r="78" spans="1:20" ht="19.2" customHeight="1" x14ac:dyDescent="0.3">
      <c r="A78" s="6">
        <v>45792</v>
      </c>
      <c r="B78" s="8" t="s">
        <v>97</v>
      </c>
      <c r="C78" s="20">
        <v>1078</v>
      </c>
      <c r="D78" s="21">
        <v>3600248581</v>
      </c>
      <c r="E78" s="20">
        <v>329031</v>
      </c>
      <c r="F78" t="s">
        <v>81</v>
      </c>
      <c r="H78" s="8" t="str">
        <f>+VLOOKUP(F78,Categories!A:B,2,)</f>
        <v>Financial / Admin</v>
      </c>
      <c r="I78" s="4">
        <v>362.89</v>
      </c>
      <c r="M78" s="4">
        <v>362.89</v>
      </c>
      <c r="P78" s="4">
        <v>0</v>
      </c>
      <c r="Q78" t="s">
        <v>45</v>
      </c>
      <c r="R78" s="4">
        <v>362.89</v>
      </c>
      <c r="S78" s="8" t="s">
        <v>50</v>
      </c>
      <c r="T78" s="20">
        <v>29083</v>
      </c>
    </row>
    <row r="79" spans="1:20" ht="19.2" customHeight="1" x14ac:dyDescent="0.3">
      <c r="A79" s="6">
        <v>45792</v>
      </c>
      <c r="B79" s="8" t="s">
        <v>97</v>
      </c>
      <c r="C79" s="20">
        <v>1078</v>
      </c>
      <c r="D79" s="21">
        <v>3600248581</v>
      </c>
      <c r="E79" s="20">
        <v>329032</v>
      </c>
      <c r="F79" t="s">
        <v>82</v>
      </c>
      <c r="H79" s="8" t="str">
        <f>+VLOOKUP(F79,Categories!A:B,2,)</f>
        <v>Financial / Admin</v>
      </c>
      <c r="I79" s="4">
        <v>2500</v>
      </c>
      <c r="M79" s="4">
        <v>2500</v>
      </c>
      <c r="P79" s="4">
        <v>0</v>
      </c>
      <c r="Q79" t="s">
        <v>63</v>
      </c>
      <c r="R79" s="4">
        <v>2500</v>
      </c>
      <c r="S79" s="8" t="s">
        <v>50</v>
      </c>
      <c r="T79" s="20">
        <v>29083</v>
      </c>
    </row>
    <row r="80" spans="1:20" ht="19.2" customHeight="1" x14ac:dyDescent="0.3">
      <c r="A80" s="6">
        <v>45804</v>
      </c>
      <c r="B80" s="8" t="s">
        <v>95</v>
      </c>
      <c r="C80" s="20">
        <v>1122</v>
      </c>
      <c r="D80" s="21">
        <v>3600248798</v>
      </c>
      <c r="E80" s="20">
        <v>670330</v>
      </c>
      <c r="F80" t="s">
        <v>83</v>
      </c>
      <c r="H80" s="8" t="str">
        <f>+VLOOKUP(F80,Categories!A:B,2,)</f>
        <v>Hardware &amp; OTA</v>
      </c>
      <c r="I80">
        <v>239.2</v>
      </c>
      <c r="J80">
        <v>285.97000000000003</v>
      </c>
      <c r="K80"/>
      <c r="L80"/>
      <c r="M80">
        <v>525.17000000000007</v>
      </c>
      <c r="N80">
        <v>26.26</v>
      </c>
      <c r="O80">
        <v>36.76</v>
      </c>
      <c r="P80">
        <v>63.019999999999996</v>
      </c>
      <c r="Q80" t="s">
        <v>19</v>
      </c>
      <c r="R80">
        <v>588.19000000000005</v>
      </c>
      <c r="S80" t="s">
        <v>27</v>
      </c>
      <c r="T80" s="20" t="s">
        <v>111</v>
      </c>
    </row>
    <row r="81" spans="1:20" ht="19.2" customHeight="1" x14ac:dyDescent="0.3">
      <c r="A81" s="6">
        <v>45804</v>
      </c>
      <c r="B81" s="8" t="s">
        <v>96</v>
      </c>
      <c r="C81" s="20">
        <v>1088</v>
      </c>
      <c r="D81" s="21">
        <v>3600248799</v>
      </c>
      <c r="E81" s="20">
        <v>530806</v>
      </c>
      <c r="F81" t="s">
        <v>84</v>
      </c>
      <c r="H81" s="8" t="str">
        <f>+VLOOKUP(F81,Categories!A:B,2,)</f>
        <v>Tires &amp; Wheels</v>
      </c>
      <c r="I81" s="4">
        <v>916.06</v>
      </c>
      <c r="J81" s="4">
        <v>13</v>
      </c>
      <c r="M81" s="4">
        <v>929.06</v>
      </c>
      <c r="N81" s="4">
        <v>46.45</v>
      </c>
      <c r="O81" s="4">
        <v>65.03</v>
      </c>
      <c r="P81" s="4">
        <v>111.48</v>
      </c>
      <c r="Q81" t="s">
        <v>19</v>
      </c>
      <c r="R81" s="4">
        <v>1040.54</v>
      </c>
      <c r="S81" s="8" t="s">
        <v>50</v>
      </c>
      <c r="T81" s="20">
        <v>27333</v>
      </c>
    </row>
    <row r="82" spans="1:20" ht="19.2" customHeight="1" x14ac:dyDescent="0.3">
      <c r="A82" s="6">
        <v>45750</v>
      </c>
      <c r="B82" s="8" t="s">
        <v>95</v>
      </c>
      <c r="C82" s="20">
        <v>1122</v>
      </c>
      <c r="D82" s="21">
        <v>3600246344</v>
      </c>
      <c r="E82" s="20">
        <v>667667</v>
      </c>
      <c r="F82" t="s">
        <v>69</v>
      </c>
      <c r="H82" s="8" t="str">
        <f>+VLOOKUP(F82,Categories!A:B,2,)</f>
        <v>Hardware &amp; OTA</v>
      </c>
      <c r="I82">
        <v>184</v>
      </c>
      <c r="J82">
        <v>10.99</v>
      </c>
      <c r="K82"/>
      <c r="L82"/>
      <c r="M82">
        <v>194.99</v>
      </c>
      <c r="N82">
        <v>9.7495000000000012</v>
      </c>
      <c r="O82">
        <v>13.649300000000002</v>
      </c>
      <c r="P82">
        <v>23.398800000000001</v>
      </c>
      <c r="Q82" t="s">
        <v>19</v>
      </c>
      <c r="R82">
        <v>218.3888</v>
      </c>
      <c r="S82" t="s">
        <v>27</v>
      </c>
      <c r="T82" s="20">
        <v>11741</v>
      </c>
    </row>
    <row r="83" spans="1:20" ht="19.2" customHeight="1" x14ac:dyDescent="0.3">
      <c r="A83" s="6">
        <v>45750</v>
      </c>
      <c r="B83" t="s">
        <v>98</v>
      </c>
      <c r="C83" s="20">
        <v>1117</v>
      </c>
      <c r="D83" s="21">
        <v>3600246345</v>
      </c>
      <c r="E83" s="20">
        <v>369007</v>
      </c>
      <c r="F83" t="s">
        <v>69</v>
      </c>
      <c r="H83" s="8" t="str">
        <f>+VLOOKUP(F83,Categories!A:B,2,)</f>
        <v>Hardware &amp; OTA</v>
      </c>
      <c r="I83">
        <v>209.94</v>
      </c>
      <c r="J83">
        <v>37.69</v>
      </c>
      <c r="K83"/>
      <c r="L83"/>
      <c r="M83">
        <v>247.63</v>
      </c>
      <c r="N83">
        <v>12.381500000000001</v>
      </c>
      <c r="O83">
        <v>17.334100000000003</v>
      </c>
      <c r="P83">
        <v>29.715600000000002</v>
      </c>
      <c r="Q83" t="s">
        <v>19</v>
      </c>
      <c r="R83">
        <v>277.34559999999999</v>
      </c>
      <c r="S83" t="s">
        <v>27</v>
      </c>
      <c r="T83" s="20">
        <v>11724</v>
      </c>
    </row>
    <row r="84" spans="1:20" ht="19.2" customHeight="1" x14ac:dyDescent="0.3">
      <c r="A84" s="6">
        <v>45750</v>
      </c>
      <c r="B84" t="s">
        <v>98</v>
      </c>
      <c r="C84" s="20">
        <v>1117</v>
      </c>
      <c r="D84" s="21">
        <v>3600246345</v>
      </c>
      <c r="E84" s="20">
        <v>369006</v>
      </c>
      <c r="F84" t="s">
        <v>69</v>
      </c>
      <c r="H84" s="8" t="str">
        <f>+VLOOKUP(F84,Categories!A:B,2,)</f>
        <v>Hardware &amp; OTA</v>
      </c>
      <c r="I84">
        <v>209.94</v>
      </c>
      <c r="J84">
        <v>39.07</v>
      </c>
      <c r="K84"/>
      <c r="L84"/>
      <c r="M84">
        <v>249.01</v>
      </c>
      <c r="N84">
        <v>12.4505</v>
      </c>
      <c r="O84">
        <v>17.430700000000002</v>
      </c>
      <c r="P84">
        <v>29.8812</v>
      </c>
      <c r="Q84" t="s">
        <v>19</v>
      </c>
      <c r="R84">
        <v>278.89119999999997</v>
      </c>
      <c r="S84" t="s">
        <v>27</v>
      </c>
      <c r="T84" s="20">
        <v>11714</v>
      </c>
    </row>
    <row r="85" spans="1:20" ht="19.2" customHeight="1" x14ac:dyDescent="0.3">
      <c r="A85" s="6">
        <v>45750</v>
      </c>
      <c r="B85" t="s">
        <v>98</v>
      </c>
      <c r="C85" s="20">
        <v>1117</v>
      </c>
      <c r="D85" s="21">
        <v>3600246345</v>
      </c>
      <c r="E85" s="20">
        <v>369005</v>
      </c>
      <c r="F85" t="s">
        <v>69</v>
      </c>
      <c r="H85" s="8" t="str">
        <f>+VLOOKUP(F85,Categories!A:B,2,)</f>
        <v>Hardware &amp; OTA</v>
      </c>
      <c r="I85">
        <v>209.94</v>
      </c>
      <c r="J85">
        <v>37.69</v>
      </c>
      <c r="K85"/>
      <c r="L85"/>
      <c r="M85">
        <v>247.63</v>
      </c>
      <c r="N85">
        <v>12.381500000000001</v>
      </c>
      <c r="O85">
        <v>17.334100000000003</v>
      </c>
      <c r="P85">
        <v>29.715600000000002</v>
      </c>
      <c r="Q85" t="s">
        <v>19</v>
      </c>
      <c r="R85">
        <v>277.34559999999999</v>
      </c>
      <c r="S85" t="s">
        <v>27</v>
      </c>
      <c r="T85" s="20">
        <v>11705</v>
      </c>
    </row>
    <row r="86" spans="1:20" ht="19.2" customHeight="1" x14ac:dyDescent="0.3">
      <c r="A86" s="6">
        <v>45750</v>
      </c>
      <c r="B86" s="8" t="s">
        <v>97</v>
      </c>
      <c r="C86" s="20">
        <v>1078</v>
      </c>
      <c r="D86" s="21">
        <v>3600246346</v>
      </c>
      <c r="E86" s="20">
        <v>323328</v>
      </c>
      <c r="F86" t="s">
        <v>69</v>
      </c>
      <c r="H86" s="8" t="str">
        <f>+VLOOKUP(F86,Categories!A:B,2,)</f>
        <v>Hardware &amp; OTA</v>
      </c>
      <c r="I86" s="4">
        <v>171.95</v>
      </c>
      <c r="M86" s="5">
        <v>171.95</v>
      </c>
      <c r="N86" s="4">
        <v>8.5975000000000001</v>
      </c>
      <c r="O86" s="4">
        <v>12.0365</v>
      </c>
      <c r="P86" s="4">
        <v>20.634</v>
      </c>
      <c r="Q86" t="s">
        <v>19</v>
      </c>
      <c r="R86" s="4">
        <v>192.584</v>
      </c>
      <c r="S86" t="s">
        <v>27</v>
      </c>
      <c r="T86" s="28">
        <v>11691</v>
      </c>
    </row>
    <row r="87" spans="1:20" ht="19.2" customHeight="1" x14ac:dyDescent="0.3">
      <c r="A87" s="6">
        <v>45756</v>
      </c>
      <c r="B87" s="8" t="s">
        <v>97</v>
      </c>
      <c r="C87" s="20">
        <v>1078</v>
      </c>
      <c r="D87" s="21">
        <v>3600246787</v>
      </c>
      <c r="E87" s="20">
        <v>320536</v>
      </c>
      <c r="F87" t="s">
        <v>85</v>
      </c>
      <c r="H87" s="8" t="str">
        <f>+VLOOKUP(F87,Categories!A:B,2,)</f>
        <v>Hardware &amp; OTA</v>
      </c>
      <c r="I87" s="4">
        <v>171.95</v>
      </c>
      <c r="M87" s="5">
        <v>171.95</v>
      </c>
      <c r="N87" s="4">
        <v>8.5975000000000001</v>
      </c>
      <c r="O87" s="4">
        <v>12.0365</v>
      </c>
      <c r="P87" s="4">
        <v>20.634</v>
      </c>
      <c r="Q87" t="s">
        <v>19</v>
      </c>
      <c r="R87" s="4">
        <v>192.584</v>
      </c>
      <c r="S87" s="8" t="s">
        <v>50</v>
      </c>
      <c r="T87" s="28">
        <v>58141</v>
      </c>
    </row>
    <row r="88" spans="1:20" ht="19.2" customHeight="1" x14ac:dyDescent="0.3">
      <c r="A88" s="6">
        <v>45756</v>
      </c>
      <c r="B88" s="8" t="s">
        <v>97</v>
      </c>
      <c r="C88" s="20">
        <v>1078</v>
      </c>
      <c r="D88" s="21">
        <v>3600246787</v>
      </c>
      <c r="E88" s="20">
        <v>320538</v>
      </c>
      <c r="F88" t="s">
        <v>85</v>
      </c>
      <c r="H88" s="8" t="str">
        <f>+VLOOKUP(F88,Categories!A:B,2,)</f>
        <v>Hardware &amp; OTA</v>
      </c>
      <c r="I88" s="4">
        <v>171.95</v>
      </c>
      <c r="M88" s="5">
        <v>171.95</v>
      </c>
      <c r="N88" s="4">
        <v>8.5975000000000001</v>
      </c>
      <c r="O88" s="4">
        <v>12.0365</v>
      </c>
      <c r="P88" s="4">
        <v>20.634</v>
      </c>
      <c r="Q88" t="s">
        <v>19</v>
      </c>
      <c r="R88" s="4">
        <v>192.584</v>
      </c>
      <c r="S88" s="8" t="s">
        <v>50</v>
      </c>
      <c r="T88" s="28">
        <v>58188</v>
      </c>
    </row>
    <row r="89" spans="1:20" ht="19.2" customHeight="1" x14ac:dyDescent="0.3">
      <c r="A89" s="6">
        <v>45756</v>
      </c>
      <c r="B89" s="8" t="s">
        <v>97</v>
      </c>
      <c r="C89" s="20">
        <v>1078</v>
      </c>
      <c r="D89" s="21">
        <v>3600246787</v>
      </c>
      <c r="E89" s="20">
        <v>320534</v>
      </c>
      <c r="F89" t="s">
        <v>85</v>
      </c>
      <c r="H89" s="8" t="str">
        <f>+VLOOKUP(F89,Categories!A:B,2,)</f>
        <v>Hardware &amp; OTA</v>
      </c>
      <c r="I89" s="4">
        <v>171.95</v>
      </c>
      <c r="M89" s="5">
        <v>171.95</v>
      </c>
      <c r="N89" s="4">
        <v>8.5975000000000001</v>
      </c>
      <c r="O89" s="4">
        <v>12.0365</v>
      </c>
      <c r="P89" s="4">
        <v>20.634</v>
      </c>
      <c r="Q89" t="s">
        <v>19</v>
      </c>
      <c r="R89" s="4">
        <v>192.584</v>
      </c>
      <c r="S89" s="8" t="s">
        <v>50</v>
      </c>
      <c r="T89" s="28">
        <v>94733</v>
      </c>
    </row>
    <row r="90" spans="1:20" ht="19.2" customHeight="1" x14ac:dyDescent="0.3">
      <c r="A90" s="6">
        <v>45756</v>
      </c>
      <c r="B90" s="8" t="s">
        <v>97</v>
      </c>
      <c r="C90" s="20">
        <v>1078</v>
      </c>
      <c r="D90" s="21">
        <v>3600246787</v>
      </c>
      <c r="E90" s="20">
        <v>320533</v>
      </c>
      <c r="F90" t="s">
        <v>85</v>
      </c>
      <c r="H90" s="8" t="str">
        <f>+VLOOKUP(F90,Categories!A:B,2,)</f>
        <v>Hardware &amp; OTA</v>
      </c>
      <c r="I90" s="4">
        <v>171.95</v>
      </c>
      <c r="M90" s="5">
        <v>171.95</v>
      </c>
      <c r="N90" s="4">
        <v>8.5975000000000001</v>
      </c>
      <c r="O90" s="4">
        <v>12.0365</v>
      </c>
      <c r="P90" s="4">
        <v>20.634</v>
      </c>
      <c r="Q90" t="s">
        <v>19</v>
      </c>
      <c r="R90" s="4">
        <v>192.584</v>
      </c>
      <c r="S90" s="8" t="s">
        <v>50</v>
      </c>
      <c r="T90" s="28">
        <v>94722</v>
      </c>
    </row>
    <row r="91" spans="1:20" ht="19.2" customHeight="1" x14ac:dyDescent="0.3">
      <c r="A91" s="6">
        <v>45762</v>
      </c>
      <c r="B91" s="8" t="s">
        <v>97</v>
      </c>
      <c r="C91" s="20">
        <v>1078</v>
      </c>
      <c r="D91" s="21">
        <v>3600246872</v>
      </c>
      <c r="E91" s="20">
        <v>321923</v>
      </c>
      <c r="F91" t="s">
        <v>85</v>
      </c>
      <c r="H91" s="8" t="str">
        <f>+VLOOKUP(F91,Categories!A:B,2,)</f>
        <v>Hardware &amp; OTA</v>
      </c>
      <c r="I91">
        <v>171.95</v>
      </c>
      <c r="J91"/>
      <c r="K91"/>
      <c r="L91"/>
      <c r="M91">
        <v>171.95</v>
      </c>
      <c r="N91">
        <v>8.5975000000000001</v>
      </c>
      <c r="O91">
        <v>12.0365</v>
      </c>
      <c r="P91">
        <v>20.634</v>
      </c>
      <c r="Q91" t="s">
        <v>19</v>
      </c>
      <c r="R91">
        <v>192.584</v>
      </c>
      <c r="S91" t="s">
        <v>27</v>
      </c>
      <c r="T91" s="20">
        <v>11754</v>
      </c>
    </row>
    <row r="92" spans="1:20" ht="19.2" customHeight="1" x14ac:dyDescent="0.3">
      <c r="A92" s="6">
        <v>45772</v>
      </c>
      <c r="B92" t="s">
        <v>98</v>
      </c>
      <c r="C92" s="20">
        <v>1117</v>
      </c>
      <c r="D92" s="21">
        <v>3600247173</v>
      </c>
      <c r="E92" s="20">
        <v>370445</v>
      </c>
      <c r="F92" t="s">
        <v>86</v>
      </c>
      <c r="H92" s="8" t="str">
        <f>+VLOOKUP(F92,Categories!A:B,2,)</f>
        <v>Inspection (CVI)</v>
      </c>
      <c r="I92" s="4">
        <v>215.94</v>
      </c>
      <c r="J92" s="4">
        <v>25.91</v>
      </c>
      <c r="M92" s="4">
        <v>241.85</v>
      </c>
      <c r="N92" s="4">
        <v>12.092500000000001</v>
      </c>
      <c r="O92" s="4">
        <v>16.929500000000001</v>
      </c>
      <c r="P92" s="4">
        <v>29.022000000000002</v>
      </c>
      <c r="Q92" t="s">
        <v>19</v>
      </c>
      <c r="R92" s="4">
        <v>270.87200000000001</v>
      </c>
      <c r="S92" s="8" t="s">
        <v>50</v>
      </c>
      <c r="T92" s="20">
        <v>58341</v>
      </c>
    </row>
    <row r="93" spans="1:20" ht="19.2" customHeight="1" x14ac:dyDescent="0.3">
      <c r="A93" s="6">
        <v>45772</v>
      </c>
      <c r="B93" t="s">
        <v>98</v>
      </c>
      <c r="C93" s="20">
        <v>1117</v>
      </c>
      <c r="D93" s="21">
        <v>3600247173</v>
      </c>
      <c r="E93" s="20">
        <v>370389</v>
      </c>
      <c r="F93" t="s">
        <v>86</v>
      </c>
      <c r="H93" s="8" t="str">
        <f>+VLOOKUP(F93,Categories!A:B,2,)</f>
        <v>Inspection (CVI)</v>
      </c>
      <c r="I93" s="4">
        <v>215.94</v>
      </c>
      <c r="J93" s="4">
        <v>25.91</v>
      </c>
      <c r="M93" s="4">
        <v>241.85</v>
      </c>
      <c r="N93" s="4">
        <v>12.092500000000001</v>
      </c>
      <c r="O93" s="4">
        <v>16.929500000000001</v>
      </c>
      <c r="P93" s="4">
        <v>29.022000000000002</v>
      </c>
      <c r="Q93" t="s">
        <v>19</v>
      </c>
      <c r="R93" s="4">
        <v>270.87200000000001</v>
      </c>
      <c r="S93" s="8" t="s">
        <v>50</v>
      </c>
      <c r="T93" s="20">
        <v>94891</v>
      </c>
    </row>
    <row r="94" spans="1:20" ht="19.2" customHeight="1" x14ac:dyDescent="0.3">
      <c r="A94" s="6">
        <v>45777</v>
      </c>
      <c r="B94" t="s">
        <v>98</v>
      </c>
      <c r="C94" s="20">
        <v>1117</v>
      </c>
      <c r="D94" s="21">
        <v>3600247572</v>
      </c>
      <c r="E94" s="20">
        <v>3600246885</v>
      </c>
      <c r="F94" t="s">
        <v>87</v>
      </c>
      <c r="H94" s="8" t="str">
        <f>+VLOOKUP(F94,Categories!A:B,2,)</f>
        <v>Financial / Admin</v>
      </c>
      <c r="I94" s="4">
        <v>1000</v>
      </c>
      <c r="M94" s="4">
        <v>1000</v>
      </c>
      <c r="N94" s="4">
        <v>50</v>
      </c>
      <c r="P94" s="4">
        <v>50</v>
      </c>
      <c r="Q94" t="s">
        <v>7</v>
      </c>
      <c r="R94" s="4">
        <v>1050</v>
      </c>
      <c r="S94" s="8" t="s">
        <v>50</v>
      </c>
      <c r="T94" s="20">
        <v>58341</v>
      </c>
    </row>
    <row r="95" spans="1:20" ht="19.2" customHeight="1" x14ac:dyDescent="0.3">
      <c r="A95" s="6">
        <v>45729</v>
      </c>
      <c r="B95" t="s">
        <v>98</v>
      </c>
      <c r="C95" s="20">
        <v>1117</v>
      </c>
      <c r="D95" s="21">
        <v>3600243525</v>
      </c>
      <c r="E95" s="20">
        <v>260176</v>
      </c>
      <c r="F95" t="s">
        <v>88</v>
      </c>
      <c r="H95" s="8" t="str">
        <f>+VLOOKUP(F95,Categories!A:B,2,)</f>
        <v>Tires &amp; Wheels</v>
      </c>
      <c r="I95" s="4">
        <v>109.82</v>
      </c>
      <c r="M95" s="4">
        <v>109.82</v>
      </c>
      <c r="N95" s="4">
        <v>5.4909999999999997</v>
      </c>
      <c r="O95" s="4">
        <v>7.6874000000000002</v>
      </c>
      <c r="P95" s="4">
        <v>13.1784</v>
      </c>
      <c r="Q95" t="s">
        <v>19</v>
      </c>
      <c r="R95" s="4">
        <v>122.99839999999999</v>
      </c>
      <c r="S95" s="8" t="s">
        <v>50</v>
      </c>
      <c r="T95" s="20">
        <v>45366</v>
      </c>
    </row>
    <row r="96" spans="1:20" ht="19.2" customHeight="1" x14ac:dyDescent="0.3">
      <c r="A96" s="6">
        <v>45729</v>
      </c>
      <c r="B96" t="s">
        <v>98</v>
      </c>
      <c r="C96" s="20">
        <v>1117</v>
      </c>
      <c r="D96" s="21">
        <v>3600243525</v>
      </c>
      <c r="E96" s="20">
        <v>366633</v>
      </c>
      <c r="F96" t="s">
        <v>89</v>
      </c>
      <c r="H96" s="8" t="str">
        <f>+VLOOKUP(F96,Categories!A:B,2,)</f>
        <v>Hardware &amp; OTA</v>
      </c>
      <c r="I96" s="4">
        <v>262.43</v>
      </c>
      <c r="J96" s="4">
        <v>43.989999999999995</v>
      </c>
      <c r="M96" s="4">
        <v>306.42</v>
      </c>
      <c r="N96" s="4">
        <v>15.321000000000002</v>
      </c>
      <c r="O96" s="4">
        <v>21.449400000000004</v>
      </c>
      <c r="P96" s="4">
        <v>36.770400000000009</v>
      </c>
      <c r="Q96" t="s">
        <v>19</v>
      </c>
      <c r="R96" s="4">
        <v>343.19040000000001</v>
      </c>
      <c r="S96" s="8" t="s">
        <v>50</v>
      </c>
      <c r="T96" s="20">
        <v>45366</v>
      </c>
    </row>
    <row r="97" spans="1:20" ht="19.2" customHeight="1" x14ac:dyDescent="0.3">
      <c r="A97" s="6">
        <v>45729</v>
      </c>
      <c r="B97" s="8" t="s">
        <v>96</v>
      </c>
      <c r="C97" s="20">
        <v>1088</v>
      </c>
      <c r="D97" s="21">
        <v>3600243526</v>
      </c>
      <c r="E97" s="20">
        <v>14194893</v>
      </c>
      <c r="F97" t="s">
        <v>90</v>
      </c>
      <c r="H97" s="8" t="str">
        <f>+VLOOKUP(F97,Categories!A:B,2,)</f>
        <v>Maintenance &amp; Repair</v>
      </c>
      <c r="I97" s="4">
        <v>1437.38</v>
      </c>
      <c r="M97" s="4">
        <v>1437.38</v>
      </c>
      <c r="N97" s="4">
        <v>71.869000000000014</v>
      </c>
      <c r="O97" s="4">
        <v>100.61660000000002</v>
      </c>
      <c r="P97" s="4">
        <v>172.48560000000003</v>
      </c>
      <c r="Q97" t="s">
        <v>19</v>
      </c>
      <c r="R97" s="4">
        <v>1609.8656000000001</v>
      </c>
      <c r="S97" s="8" t="s">
        <v>50</v>
      </c>
      <c r="T97" s="20">
        <v>50998</v>
      </c>
    </row>
    <row r="98" spans="1:20" ht="19.2" customHeight="1" x14ac:dyDescent="0.3">
      <c r="A98" s="6">
        <v>45729</v>
      </c>
      <c r="B98" s="8" t="s">
        <v>95</v>
      </c>
      <c r="C98" s="20">
        <v>1122</v>
      </c>
      <c r="D98" s="21">
        <v>3600243527</v>
      </c>
      <c r="E98" s="20">
        <v>664462</v>
      </c>
      <c r="F98" t="s">
        <v>69</v>
      </c>
      <c r="H98" s="8" t="str">
        <f>+VLOOKUP(F98,Categories!A:B,2,)</f>
        <v>Hardware &amp; OTA</v>
      </c>
      <c r="I98" s="4">
        <v>184</v>
      </c>
      <c r="J98" s="4">
        <v>10.99</v>
      </c>
      <c r="M98" s="4">
        <v>194.99</v>
      </c>
      <c r="N98" s="4">
        <v>9.7495000000000012</v>
      </c>
      <c r="O98" s="4">
        <v>13.649300000000002</v>
      </c>
      <c r="P98" s="4">
        <v>23.398800000000001</v>
      </c>
      <c r="Q98" t="s">
        <v>19</v>
      </c>
      <c r="R98" s="4">
        <v>218.3888</v>
      </c>
      <c r="S98" s="8" t="s">
        <v>50</v>
      </c>
      <c r="T98" s="20">
        <v>45139</v>
      </c>
    </row>
    <row r="99" spans="1:20" ht="19.2" customHeight="1" x14ac:dyDescent="0.3">
      <c r="A99" s="6">
        <v>45729</v>
      </c>
      <c r="B99" s="8" t="s">
        <v>95</v>
      </c>
      <c r="C99" s="20">
        <v>1122</v>
      </c>
      <c r="D99" s="21">
        <v>3600243527</v>
      </c>
      <c r="E99" s="20">
        <v>664466</v>
      </c>
      <c r="F99" t="s">
        <v>69</v>
      </c>
      <c r="H99" s="8" t="str">
        <f>+VLOOKUP(F99,Categories!A:B,2,)</f>
        <v>Hardware &amp; OTA</v>
      </c>
      <c r="I99" s="4">
        <v>184</v>
      </c>
      <c r="J99" s="4">
        <v>10.99</v>
      </c>
      <c r="M99" s="4">
        <v>194.99</v>
      </c>
      <c r="N99" s="4">
        <v>9.7495000000000012</v>
      </c>
      <c r="O99" s="4">
        <v>13.649300000000002</v>
      </c>
      <c r="P99" s="4">
        <v>23.398800000000001</v>
      </c>
      <c r="Q99" t="s">
        <v>19</v>
      </c>
      <c r="R99" s="4">
        <v>218.3888</v>
      </c>
      <c r="S99" s="8" t="s">
        <v>50</v>
      </c>
      <c r="T99" s="20">
        <v>28495</v>
      </c>
    </row>
    <row r="100" spans="1:20" ht="19.2" customHeight="1" x14ac:dyDescent="0.3">
      <c r="A100" s="6">
        <v>45729</v>
      </c>
      <c r="B100" s="8" t="s">
        <v>95</v>
      </c>
      <c r="C100" s="20">
        <v>1122</v>
      </c>
      <c r="D100" s="21">
        <v>3600243527</v>
      </c>
      <c r="E100" s="20">
        <v>664463</v>
      </c>
      <c r="F100" t="s">
        <v>69</v>
      </c>
      <c r="H100" s="8" t="str">
        <f>+VLOOKUP(F100,Categories!A:B,2,)</f>
        <v>Hardware &amp; OTA</v>
      </c>
      <c r="I100" s="4">
        <v>184</v>
      </c>
      <c r="J100" s="4">
        <v>10.99</v>
      </c>
      <c r="M100" s="4">
        <v>194.99</v>
      </c>
      <c r="N100" s="4">
        <v>9.7495000000000012</v>
      </c>
      <c r="O100" s="4">
        <v>13.649300000000002</v>
      </c>
      <c r="P100" s="4">
        <v>23.398800000000001</v>
      </c>
      <c r="Q100" t="s">
        <v>19</v>
      </c>
      <c r="R100" s="4">
        <v>218.3888</v>
      </c>
      <c r="S100" s="8" t="s">
        <v>50</v>
      </c>
      <c r="T100" s="20">
        <v>45262</v>
      </c>
    </row>
    <row r="101" spans="1:20" ht="19.2" customHeight="1" x14ac:dyDescent="0.3">
      <c r="A101" s="6">
        <v>45729</v>
      </c>
      <c r="B101" s="8" t="s">
        <v>95</v>
      </c>
      <c r="C101" s="20">
        <v>1122</v>
      </c>
      <c r="D101" s="21">
        <v>3600243527</v>
      </c>
      <c r="E101" s="20">
        <v>664465</v>
      </c>
      <c r="F101" t="s">
        <v>69</v>
      </c>
      <c r="H101" s="8" t="str">
        <f>+VLOOKUP(F101,Categories!A:B,2,)</f>
        <v>Hardware &amp; OTA</v>
      </c>
      <c r="I101" s="4">
        <v>184</v>
      </c>
      <c r="J101" s="4">
        <v>10.99</v>
      </c>
      <c r="M101" s="4">
        <v>194.99</v>
      </c>
      <c r="N101" s="4">
        <v>9.7495000000000012</v>
      </c>
      <c r="O101" s="4">
        <v>13.649300000000002</v>
      </c>
      <c r="P101" s="4">
        <v>23.398800000000001</v>
      </c>
      <c r="Q101" t="s">
        <v>19</v>
      </c>
      <c r="R101" s="4">
        <v>218.3888</v>
      </c>
      <c r="S101" s="8" t="s">
        <v>50</v>
      </c>
      <c r="T101" s="20">
        <v>45471</v>
      </c>
    </row>
    <row r="102" spans="1:20" ht="19.2" customHeight="1" x14ac:dyDescent="0.3">
      <c r="A102" s="6">
        <v>45741</v>
      </c>
      <c r="B102" s="8" t="s">
        <v>95</v>
      </c>
      <c r="C102" s="20">
        <v>1122</v>
      </c>
      <c r="D102" s="21">
        <v>3600245005</v>
      </c>
      <c r="E102" s="20">
        <v>658267</v>
      </c>
      <c r="F102" t="s">
        <v>35</v>
      </c>
      <c r="H102" s="8" t="str">
        <f>+VLOOKUP(F102,Categories!A:B,2,)</f>
        <v>Inspection (CVI)</v>
      </c>
      <c r="I102" s="4">
        <v>179.95</v>
      </c>
      <c r="M102" s="4">
        <v>179.95</v>
      </c>
      <c r="N102" s="4">
        <v>8.9975000000000005</v>
      </c>
      <c r="O102" s="4">
        <v>12.596500000000001</v>
      </c>
      <c r="P102" s="4">
        <v>21.594000000000001</v>
      </c>
      <c r="Q102" t="s">
        <v>19</v>
      </c>
      <c r="R102" s="4">
        <v>201.54399999999998</v>
      </c>
      <c r="S102" s="8" t="s">
        <v>50</v>
      </c>
      <c r="T102" s="20">
        <v>50816</v>
      </c>
    </row>
    <row r="103" spans="1:20" ht="19.2" customHeight="1" x14ac:dyDescent="0.3">
      <c r="A103" s="6">
        <v>45741</v>
      </c>
      <c r="B103" s="8" t="s">
        <v>95</v>
      </c>
      <c r="C103" s="20">
        <v>1122</v>
      </c>
      <c r="D103" s="21">
        <v>3600245005</v>
      </c>
      <c r="E103" s="20">
        <v>658275</v>
      </c>
      <c r="F103" t="s">
        <v>35</v>
      </c>
      <c r="H103" s="8" t="str">
        <f>+VLOOKUP(F103,Categories!A:B,2,)</f>
        <v>Inspection (CVI)</v>
      </c>
      <c r="I103" s="4">
        <v>179.95</v>
      </c>
      <c r="M103" s="4">
        <v>179.95</v>
      </c>
      <c r="N103" s="4">
        <v>8.9975000000000005</v>
      </c>
      <c r="O103" s="4">
        <v>12.596500000000001</v>
      </c>
      <c r="P103" s="4">
        <v>21.594000000000001</v>
      </c>
      <c r="Q103" t="s">
        <v>19</v>
      </c>
      <c r="R103" s="4">
        <v>201.54399999999998</v>
      </c>
      <c r="S103" s="8" t="s">
        <v>50</v>
      </c>
      <c r="T103" s="20">
        <v>51361</v>
      </c>
    </row>
    <row r="104" spans="1:20" ht="19.2" customHeight="1" x14ac:dyDescent="0.3">
      <c r="A104" s="6">
        <v>45741</v>
      </c>
      <c r="B104" s="8" t="s">
        <v>95</v>
      </c>
      <c r="C104" s="20">
        <v>1122</v>
      </c>
      <c r="D104" s="21">
        <v>3600245005</v>
      </c>
      <c r="E104" s="20">
        <v>658276</v>
      </c>
      <c r="F104" t="s">
        <v>35</v>
      </c>
      <c r="H104" s="8" t="str">
        <f>+VLOOKUP(F104,Categories!A:B,2,)</f>
        <v>Inspection (CVI)</v>
      </c>
      <c r="I104" s="4">
        <v>179.95</v>
      </c>
      <c r="M104" s="4">
        <v>179.95</v>
      </c>
      <c r="N104" s="4">
        <v>8.9975000000000005</v>
      </c>
      <c r="O104" s="4">
        <v>12.596500000000001</v>
      </c>
      <c r="P104" s="4">
        <v>21.594000000000001</v>
      </c>
      <c r="Q104" t="s">
        <v>19</v>
      </c>
      <c r="R104" s="4">
        <v>201.54399999999998</v>
      </c>
      <c r="S104" s="8" t="s">
        <v>50</v>
      </c>
      <c r="T104" s="20">
        <v>50706</v>
      </c>
    </row>
    <row r="105" spans="1:20" ht="19.2" customHeight="1" x14ac:dyDescent="0.3">
      <c r="A105" s="6">
        <v>45741</v>
      </c>
      <c r="B105" s="8" t="s">
        <v>95</v>
      </c>
      <c r="C105" s="20">
        <v>1122</v>
      </c>
      <c r="D105" s="21">
        <v>3600245005</v>
      </c>
      <c r="E105" s="20">
        <v>658281</v>
      </c>
      <c r="F105" t="s">
        <v>35</v>
      </c>
      <c r="H105" s="8" t="str">
        <f>+VLOOKUP(F105,Categories!A:B,2,)</f>
        <v>Inspection (CVI)</v>
      </c>
      <c r="I105" s="4">
        <v>179.95</v>
      </c>
      <c r="M105" s="4">
        <v>179.95</v>
      </c>
      <c r="N105" s="4">
        <v>8.9975000000000005</v>
      </c>
      <c r="O105" s="4">
        <v>12.596500000000001</v>
      </c>
      <c r="P105" s="4">
        <v>21.594000000000001</v>
      </c>
      <c r="Q105" t="s">
        <v>19</v>
      </c>
      <c r="R105" s="4">
        <v>201.54399999999998</v>
      </c>
      <c r="S105" s="8" t="s">
        <v>50</v>
      </c>
      <c r="T105" s="20">
        <v>50253</v>
      </c>
    </row>
    <row r="106" spans="1:20" ht="19.2" customHeight="1" x14ac:dyDescent="0.3">
      <c r="A106" s="6">
        <v>45741</v>
      </c>
      <c r="B106" s="8" t="s">
        <v>95</v>
      </c>
      <c r="C106" s="20">
        <v>1122</v>
      </c>
      <c r="D106" s="21">
        <v>3600245005</v>
      </c>
      <c r="E106" s="20">
        <v>658270</v>
      </c>
      <c r="F106" t="s">
        <v>35</v>
      </c>
      <c r="H106" s="8" t="str">
        <f>+VLOOKUP(F106,Categories!A:B,2,)</f>
        <v>Inspection (CVI)</v>
      </c>
      <c r="I106" s="4">
        <v>179.95</v>
      </c>
      <c r="M106" s="4">
        <v>179.95</v>
      </c>
      <c r="N106" s="4">
        <v>8.9975000000000005</v>
      </c>
      <c r="O106" s="4">
        <v>12.596500000000001</v>
      </c>
      <c r="P106" s="4">
        <v>21.594000000000001</v>
      </c>
      <c r="Q106" t="s">
        <v>19</v>
      </c>
      <c r="R106" s="4">
        <v>201.54399999999998</v>
      </c>
      <c r="S106" s="8" t="s">
        <v>50</v>
      </c>
      <c r="T106" s="20">
        <v>51224</v>
      </c>
    </row>
    <row r="107" spans="1:20" ht="19.2" customHeight="1" x14ac:dyDescent="0.3">
      <c r="A107" s="6">
        <v>45741</v>
      </c>
      <c r="B107" s="8" t="s">
        <v>95</v>
      </c>
      <c r="C107" s="20">
        <v>1122</v>
      </c>
      <c r="D107" s="21">
        <v>3600245005</v>
      </c>
      <c r="E107" s="20">
        <v>658269</v>
      </c>
      <c r="F107" t="s">
        <v>35</v>
      </c>
      <c r="H107" s="8" t="str">
        <f>+VLOOKUP(F107,Categories!A:B,2,)</f>
        <v>Inspection (CVI)</v>
      </c>
      <c r="I107" s="4">
        <v>179.95</v>
      </c>
      <c r="M107" s="4">
        <v>179.95</v>
      </c>
      <c r="N107" s="4">
        <v>8.9975000000000005</v>
      </c>
      <c r="O107" s="4">
        <v>12.596500000000001</v>
      </c>
      <c r="P107" s="4">
        <v>21.594000000000001</v>
      </c>
      <c r="Q107" t="s">
        <v>19</v>
      </c>
      <c r="R107" s="4">
        <v>201.54399999999998</v>
      </c>
      <c r="S107" s="8" t="s">
        <v>50</v>
      </c>
      <c r="T107" s="20">
        <v>51242</v>
      </c>
    </row>
    <row r="108" spans="1:20" ht="19.2" customHeight="1" x14ac:dyDescent="0.3">
      <c r="A108" s="6">
        <v>45741</v>
      </c>
      <c r="B108" s="8" t="s">
        <v>95</v>
      </c>
      <c r="C108" s="20">
        <v>1122</v>
      </c>
      <c r="D108" s="21">
        <v>3600245005</v>
      </c>
      <c r="E108" s="20">
        <v>658265</v>
      </c>
      <c r="F108" t="s">
        <v>35</v>
      </c>
      <c r="H108" s="8" t="str">
        <f>+VLOOKUP(F108,Categories!A:B,2,)</f>
        <v>Inspection (CVI)</v>
      </c>
      <c r="I108" s="4">
        <v>179.95</v>
      </c>
      <c r="M108" s="4">
        <v>179.95</v>
      </c>
      <c r="N108" s="4">
        <v>8.9975000000000005</v>
      </c>
      <c r="O108" s="4">
        <v>12.596500000000001</v>
      </c>
      <c r="P108" s="4">
        <v>21.594000000000001</v>
      </c>
      <c r="Q108" t="s">
        <v>19</v>
      </c>
      <c r="R108" s="4">
        <v>201.54399999999998</v>
      </c>
      <c r="S108" s="8" t="s">
        <v>50</v>
      </c>
      <c r="T108" s="20">
        <v>51104</v>
      </c>
    </row>
    <row r="109" spans="1:20" ht="19.2" customHeight="1" x14ac:dyDescent="0.3">
      <c r="A109" s="6">
        <v>45741</v>
      </c>
      <c r="B109" s="8" t="s">
        <v>95</v>
      </c>
      <c r="C109" s="20">
        <v>1122</v>
      </c>
      <c r="D109" s="21">
        <v>3600245005</v>
      </c>
      <c r="E109" s="20">
        <v>658278</v>
      </c>
      <c r="F109" t="s">
        <v>35</v>
      </c>
      <c r="H109" s="8" t="str">
        <f>+VLOOKUP(F109,Categories!A:B,2,)</f>
        <v>Inspection (CVI)</v>
      </c>
      <c r="I109" s="4">
        <v>179.95</v>
      </c>
      <c r="M109" s="4">
        <v>179.95</v>
      </c>
      <c r="N109" s="4">
        <v>8.9975000000000005</v>
      </c>
      <c r="O109" s="4">
        <v>12.596500000000001</v>
      </c>
      <c r="P109" s="4">
        <v>21.594000000000001</v>
      </c>
      <c r="Q109" t="s">
        <v>19</v>
      </c>
      <c r="R109" s="4">
        <v>201.54399999999998</v>
      </c>
      <c r="S109" s="8" t="s">
        <v>50</v>
      </c>
      <c r="T109" s="20">
        <v>50334</v>
      </c>
    </row>
    <row r="110" spans="1:20" ht="19.2" customHeight="1" x14ac:dyDescent="0.3">
      <c r="A110" s="6">
        <v>45741</v>
      </c>
      <c r="B110" s="8" t="s">
        <v>95</v>
      </c>
      <c r="C110" s="20">
        <v>1122</v>
      </c>
      <c r="D110" s="21">
        <v>3600245005</v>
      </c>
      <c r="E110" s="20">
        <v>658271</v>
      </c>
      <c r="F110" t="s">
        <v>35</v>
      </c>
      <c r="H110" s="8" t="str">
        <f>+VLOOKUP(F110,Categories!A:B,2,)</f>
        <v>Inspection (CVI)</v>
      </c>
      <c r="I110" s="4">
        <v>179.95</v>
      </c>
      <c r="M110" s="4">
        <v>179.95</v>
      </c>
      <c r="N110" s="4">
        <v>8.9975000000000005</v>
      </c>
      <c r="O110" s="4">
        <v>12.596500000000001</v>
      </c>
      <c r="P110" s="4">
        <v>21.594000000000001</v>
      </c>
      <c r="Q110" t="s">
        <v>19</v>
      </c>
      <c r="R110" s="4">
        <v>201.54399999999998</v>
      </c>
      <c r="S110" s="8" t="s">
        <v>50</v>
      </c>
      <c r="T110" s="20">
        <v>50104</v>
      </c>
    </row>
    <row r="111" spans="1:20" ht="19.2" customHeight="1" x14ac:dyDescent="0.3">
      <c r="A111" s="6">
        <v>45741</v>
      </c>
      <c r="B111" s="8" t="s">
        <v>95</v>
      </c>
      <c r="C111" s="20">
        <v>1122</v>
      </c>
      <c r="D111" s="21">
        <v>3600245005</v>
      </c>
      <c r="E111" s="20">
        <v>658266</v>
      </c>
      <c r="F111" t="s">
        <v>35</v>
      </c>
      <c r="H111" s="8" t="str">
        <f>+VLOOKUP(F111,Categories!A:B,2,)</f>
        <v>Inspection (CVI)</v>
      </c>
      <c r="I111" s="4">
        <v>179.95</v>
      </c>
      <c r="M111" s="4">
        <v>179.95</v>
      </c>
      <c r="N111" s="4">
        <v>8.9975000000000005</v>
      </c>
      <c r="O111" s="4">
        <v>12.596500000000001</v>
      </c>
      <c r="P111" s="4">
        <v>21.594000000000001</v>
      </c>
      <c r="Q111" t="s">
        <v>19</v>
      </c>
      <c r="R111" s="4">
        <v>201.54399999999998</v>
      </c>
      <c r="S111" s="8" t="s">
        <v>50</v>
      </c>
      <c r="T111" s="20">
        <v>50998</v>
      </c>
    </row>
    <row r="112" spans="1:20" ht="19.2" customHeight="1" x14ac:dyDescent="0.3">
      <c r="A112" s="6">
        <v>45741</v>
      </c>
      <c r="B112" s="8" t="s">
        <v>95</v>
      </c>
      <c r="C112" s="20">
        <v>1122</v>
      </c>
      <c r="D112" s="21">
        <v>3600245005</v>
      </c>
      <c r="E112" s="20">
        <v>658282</v>
      </c>
      <c r="F112" t="s">
        <v>35</v>
      </c>
      <c r="H112" s="8" t="str">
        <f>+VLOOKUP(F112,Categories!A:B,2,)</f>
        <v>Inspection (CVI)</v>
      </c>
      <c r="I112" s="4">
        <v>179.95</v>
      </c>
      <c r="M112" s="4">
        <v>179.95</v>
      </c>
      <c r="N112" s="4">
        <v>8.9975000000000005</v>
      </c>
      <c r="O112" s="4">
        <v>12.596500000000001</v>
      </c>
      <c r="P112" s="4">
        <v>21.594000000000001</v>
      </c>
      <c r="Q112" t="s">
        <v>19</v>
      </c>
      <c r="R112" s="4">
        <v>201.54399999999998</v>
      </c>
      <c r="S112" s="8" t="s">
        <v>50</v>
      </c>
      <c r="T112" s="20">
        <v>50388</v>
      </c>
    </row>
    <row r="113" spans="1:20" ht="19.2" customHeight="1" x14ac:dyDescent="0.3">
      <c r="A113" s="6">
        <v>45741</v>
      </c>
      <c r="B113" s="8" t="s">
        <v>95</v>
      </c>
      <c r="C113" s="20">
        <v>1122</v>
      </c>
      <c r="D113" s="21">
        <v>3600245005</v>
      </c>
      <c r="E113" s="20">
        <v>658277</v>
      </c>
      <c r="F113" t="s">
        <v>35</v>
      </c>
      <c r="H113" s="8" t="str">
        <f>+VLOOKUP(F113,Categories!A:B,2,)</f>
        <v>Inspection (CVI)</v>
      </c>
      <c r="I113" s="4">
        <v>179.95</v>
      </c>
      <c r="M113" s="4">
        <v>179.95</v>
      </c>
      <c r="N113" s="4">
        <v>8.9975000000000005</v>
      </c>
      <c r="O113" s="4">
        <v>12.596500000000001</v>
      </c>
      <c r="P113" s="4">
        <v>21.594000000000001</v>
      </c>
      <c r="Q113" t="s">
        <v>19</v>
      </c>
      <c r="R113" s="4">
        <v>201.54399999999998</v>
      </c>
      <c r="S113" s="8" t="s">
        <v>50</v>
      </c>
      <c r="T113" s="20">
        <v>50716</v>
      </c>
    </row>
    <row r="114" spans="1:20" ht="19.2" customHeight="1" x14ac:dyDescent="0.3">
      <c r="A114" s="6">
        <v>45741</v>
      </c>
      <c r="B114" s="8" t="s">
        <v>95</v>
      </c>
      <c r="C114" s="20">
        <v>1122</v>
      </c>
      <c r="D114" s="21">
        <v>3600245005</v>
      </c>
      <c r="E114" s="20">
        <v>658280</v>
      </c>
      <c r="F114" t="s">
        <v>35</v>
      </c>
      <c r="H114" s="8" t="str">
        <f>+VLOOKUP(F114,Categories!A:B,2,)</f>
        <v>Inspection (CVI)</v>
      </c>
      <c r="I114" s="4">
        <v>179.95</v>
      </c>
      <c r="M114" s="4">
        <v>179.95</v>
      </c>
      <c r="N114" s="4">
        <v>8.9975000000000005</v>
      </c>
      <c r="O114" s="4">
        <v>12.596500000000001</v>
      </c>
      <c r="P114" s="4">
        <v>21.594000000000001</v>
      </c>
      <c r="Q114" t="s">
        <v>19</v>
      </c>
      <c r="R114" s="4">
        <v>201.54399999999998</v>
      </c>
      <c r="S114" s="8" t="s">
        <v>50</v>
      </c>
      <c r="T114" s="20">
        <v>50148</v>
      </c>
    </row>
    <row r="115" spans="1:20" ht="19.2" customHeight="1" x14ac:dyDescent="0.3">
      <c r="A115" s="6">
        <v>45741</v>
      </c>
      <c r="B115" s="8" t="s">
        <v>96</v>
      </c>
      <c r="C115" s="20">
        <v>1088</v>
      </c>
      <c r="D115" s="21">
        <v>3600245011</v>
      </c>
      <c r="E115" s="20">
        <v>328601</v>
      </c>
      <c r="F115" t="s">
        <v>91</v>
      </c>
      <c r="H115" s="8" t="str">
        <f>+VLOOKUP(F115,Categories!A:B,2,)</f>
        <v>Financial / Admin</v>
      </c>
      <c r="I115" s="4">
        <v>164.56</v>
      </c>
      <c r="M115" s="4">
        <v>164.56</v>
      </c>
      <c r="P115" s="4">
        <v>0</v>
      </c>
      <c r="R115" s="4">
        <v>164.56</v>
      </c>
      <c r="S115" s="8" t="s">
        <v>50</v>
      </c>
      <c r="T115" s="20">
        <v>50998</v>
      </c>
    </row>
    <row r="116" spans="1:20" ht="19.2" customHeight="1" x14ac:dyDescent="0.3">
      <c r="A116" s="6">
        <v>45702</v>
      </c>
      <c r="B116" s="8" t="s">
        <v>95</v>
      </c>
      <c r="C116" s="20">
        <v>1122</v>
      </c>
      <c r="D116" s="21">
        <v>3600241421</v>
      </c>
      <c r="E116" s="20">
        <v>662847</v>
      </c>
      <c r="F116" t="s">
        <v>92</v>
      </c>
      <c r="H116" s="8" t="str">
        <f>+VLOOKUP(F116,Categories!A:B,2,)</f>
        <v>Tires &amp; Wheels</v>
      </c>
      <c r="I116" s="4">
        <v>109.82</v>
      </c>
      <c r="M116" s="5">
        <v>109.82</v>
      </c>
      <c r="N116" s="4">
        <v>5.49</v>
      </c>
      <c r="O116" s="4">
        <v>7.69</v>
      </c>
      <c r="P116" s="4">
        <v>13.18</v>
      </c>
      <c r="Q116" t="s">
        <v>19</v>
      </c>
      <c r="R116" s="4">
        <v>123</v>
      </c>
      <c r="S116" s="8" t="s">
        <v>50</v>
      </c>
      <c r="T116" s="28">
        <v>50998</v>
      </c>
    </row>
    <row r="117" spans="1:20" ht="19.2" customHeight="1" x14ac:dyDescent="0.3">
      <c r="A117" s="6">
        <v>45706</v>
      </c>
      <c r="B117" t="s">
        <v>98</v>
      </c>
      <c r="C117" s="20">
        <v>1117</v>
      </c>
      <c r="D117" s="21">
        <v>3600241423</v>
      </c>
      <c r="E117" s="20">
        <v>365414</v>
      </c>
      <c r="F117" t="s">
        <v>35</v>
      </c>
      <c r="H117" s="8" t="str">
        <f>+VLOOKUP(F117,Categories!A:B,2,)</f>
        <v>Inspection (CVI)</v>
      </c>
      <c r="I117" s="4">
        <v>159.94999999999999</v>
      </c>
      <c r="M117" s="5">
        <v>159.94999999999999</v>
      </c>
      <c r="N117" s="4">
        <v>7.9974999999999996</v>
      </c>
      <c r="O117" s="4">
        <v>11.1965</v>
      </c>
      <c r="P117" s="4">
        <v>19.193999999999999</v>
      </c>
      <c r="Q117" t="s">
        <v>19</v>
      </c>
      <c r="R117" s="4">
        <v>179.14399999999998</v>
      </c>
      <c r="S117" s="8" t="s">
        <v>50</v>
      </c>
      <c r="T117" s="28">
        <v>50006</v>
      </c>
    </row>
    <row r="118" spans="1:20" ht="19.2" customHeight="1" x14ac:dyDescent="0.3">
      <c r="A118" s="6">
        <v>45706</v>
      </c>
      <c r="B118" t="s">
        <v>98</v>
      </c>
      <c r="C118" s="20">
        <v>1117</v>
      </c>
      <c r="D118" s="21">
        <v>3600241423</v>
      </c>
      <c r="E118" s="20">
        <v>365417</v>
      </c>
      <c r="F118" t="s">
        <v>35</v>
      </c>
      <c r="H118" s="8" t="str">
        <f>+VLOOKUP(F118,Categories!A:B,2,)</f>
        <v>Inspection (CVI)</v>
      </c>
      <c r="I118" s="4">
        <v>159.94999999999999</v>
      </c>
      <c r="M118" s="5">
        <v>159.94999999999999</v>
      </c>
      <c r="N118" s="4">
        <v>7.9974999999999996</v>
      </c>
      <c r="O118" s="4">
        <v>11.1965</v>
      </c>
      <c r="P118" s="4">
        <v>19.193999999999999</v>
      </c>
      <c r="Q118" t="s">
        <v>19</v>
      </c>
      <c r="R118" s="4">
        <v>179.14399999999998</v>
      </c>
      <c r="S118" s="8" t="s">
        <v>50</v>
      </c>
      <c r="T118" s="28">
        <v>50565</v>
      </c>
    </row>
    <row r="119" spans="1:20" ht="19.2" customHeight="1" x14ac:dyDescent="0.3">
      <c r="A119" s="6">
        <v>45706</v>
      </c>
      <c r="B119" t="s">
        <v>98</v>
      </c>
      <c r="C119" s="20">
        <v>1117</v>
      </c>
      <c r="D119" s="21">
        <v>3600241423</v>
      </c>
      <c r="E119" s="20">
        <v>365418</v>
      </c>
      <c r="F119" t="s">
        <v>35</v>
      </c>
      <c r="H119" s="8" t="str">
        <f>+VLOOKUP(F119,Categories!A:B,2,)</f>
        <v>Inspection (CVI)</v>
      </c>
      <c r="I119" s="4">
        <v>159.94999999999999</v>
      </c>
      <c r="M119" s="5">
        <v>159.94999999999999</v>
      </c>
      <c r="N119" s="4">
        <v>7.9974999999999996</v>
      </c>
      <c r="O119" s="4">
        <v>11.1965</v>
      </c>
      <c r="P119" s="4">
        <v>19.193999999999999</v>
      </c>
      <c r="Q119" t="s">
        <v>19</v>
      </c>
      <c r="R119" s="4">
        <v>179.14399999999998</v>
      </c>
      <c r="S119" s="8" t="s">
        <v>50</v>
      </c>
      <c r="T119" s="28">
        <v>50229</v>
      </c>
    </row>
    <row r="120" spans="1:20" ht="19.2" customHeight="1" x14ac:dyDescent="0.3">
      <c r="A120" s="6">
        <v>45706</v>
      </c>
      <c r="B120" t="s">
        <v>98</v>
      </c>
      <c r="C120" s="20">
        <v>1117</v>
      </c>
      <c r="D120" s="21">
        <v>3600241423</v>
      </c>
      <c r="E120" s="20">
        <v>365420</v>
      </c>
      <c r="F120" t="s">
        <v>35</v>
      </c>
      <c r="H120" s="8" t="str">
        <f>+VLOOKUP(F120,Categories!A:B,2,)</f>
        <v>Inspection (CVI)</v>
      </c>
      <c r="I120" s="4">
        <v>159.94999999999999</v>
      </c>
      <c r="M120" s="5">
        <v>159.94999999999999</v>
      </c>
      <c r="N120" s="4">
        <v>7.9974999999999996</v>
      </c>
      <c r="O120" s="4">
        <v>11.1965</v>
      </c>
      <c r="P120" s="4">
        <v>19.193999999999999</v>
      </c>
      <c r="Q120" t="s">
        <v>19</v>
      </c>
      <c r="R120" s="4">
        <v>179.14399999999998</v>
      </c>
      <c r="S120" s="8" t="s">
        <v>50</v>
      </c>
      <c r="T120" s="28">
        <v>49875</v>
      </c>
    </row>
    <row r="121" spans="1:20" ht="19.2" customHeight="1" x14ac:dyDescent="0.3">
      <c r="A121" s="6">
        <v>45706</v>
      </c>
      <c r="B121" t="s">
        <v>98</v>
      </c>
      <c r="C121" s="20">
        <v>1117</v>
      </c>
      <c r="D121" s="21">
        <v>3600241423</v>
      </c>
      <c r="E121" s="20">
        <v>365421</v>
      </c>
      <c r="F121" t="s">
        <v>35</v>
      </c>
      <c r="H121" s="8" t="str">
        <f>+VLOOKUP(F121,Categories!A:B,2,)</f>
        <v>Inspection (CVI)</v>
      </c>
      <c r="I121" s="4">
        <v>159.94999999999999</v>
      </c>
      <c r="M121" s="5">
        <v>159.94999999999999</v>
      </c>
      <c r="N121" s="4">
        <v>7.9974999999999996</v>
      </c>
      <c r="O121" s="4">
        <v>11.1965</v>
      </c>
      <c r="P121" s="4">
        <v>19.193999999999999</v>
      </c>
      <c r="Q121" t="s">
        <v>19</v>
      </c>
      <c r="R121" s="4">
        <v>179.14399999999998</v>
      </c>
      <c r="S121" s="8" t="s">
        <v>50</v>
      </c>
      <c r="T121" s="28">
        <v>50463</v>
      </c>
    </row>
    <row r="122" spans="1:20" ht="19.2" customHeight="1" x14ac:dyDescent="0.3">
      <c r="A122" s="6">
        <v>45706</v>
      </c>
      <c r="B122" t="s">
        <v>98</v>
      </c>
      <c r="C122" s="20">
        <v>1117</v>
      </c>
      <c r="D122" s="21">
        <v>3600241423</v>
      </c>
      <c r="E122" s="20">
        <v>365409</v>
      </c>
      <c r="F122" t="s">
        <v>35</v>
      </c>
      <c r="H122" s="8" t="str">
        <f>+VLOOKUP(F122,Categories!A:B,2,)</f>
        <v>Inspection (CVI)</v>
      </c>
      <c r="I122" s="4">
        <v>159.94999999999999</v>
      </c>
      <c r="M122" s="5">
        <v>159.94999999999999</v>
      </c>
      <c r="N122" s="4">
        <v>7.9974999999999996</v>
      </c>
      <c r="O122" s="4">
        <v>11.1965</v>
      </c>
      <c r="P122" s="4">
        <v>19.193999999999999</v>
      </c>
      <c r="R122" s="4">
        <v>179.14399999999998</v>
      </c>
      <c r="S122" t="s">
        <v>61</v>
      </c>
      <c r="T122" s="28" t="s">
        <v>61</v>
      </c>
    </row>
    <row r="123" spans="1:20" ht="19.2" customHeight="1" x14ac:dyDescent="0.3">
      <c r="A123" s="6">
        <v>45716</v>
      </c>
      <c r="B123" t="s">
        <v>98</v>
      </c>
      <c r="C123" s="20">
        <v>1117</v>
      </c>
      <c r="D123" s="21">
        <v>3600242223</v>
      </c>
      <c r="E123" s="20">
        <v>366632</v>
      </c>
      <c r="F123" t="s">
        <v>89</v>
      </c>
      <c r="H123" s="8" t="str">
        <f>+VLOOKUP(F123,Categories!A:B,2,)</f>
        <v>Hardware &amp; OTA</v>
      </c>
      <c r="I123" s="4">
        <v>262.43</v>
      </c>
      <c r="L123" s="4">
        <v>31.49</v>
      </c>
      <c r="M123" s="4">
        <v>293.92</v>
      </c>
      <c r="N123" s="4">
        <v>14.696000000000002</v>
      </c>
      <c r="O123" s="4">
        <v>20.574400000000004</v>
      </c>
      <c r="P123" s="4">
        <v>35.270400000000009</v>
      </c>
      <c r="Q123" t="s">
        <v>19</v>
      </c>
      <c r="R123" s="4">
        <v>329.19040000000001</v>
      </c>
      <c r="S123" s="8" t="s">
        <v>50</v>
      </c>
      <c r="T123" s="20">
        <v>26597</v>
      </c>
    </row>
    <row r="124" spans="1:20" ht="19.2" customHeight="1" x14ac:dyDescent="0.3">
      <c r="A124" s="6">
        <v>45716</v>
      </c>
      <c r="B124" t="s">
        <v>98</v>
      </c>
      <c r="C124" s="20">
        <v>1117</v>
      </c>
      <c r="D124" s="21">
        <v>3600242223</v>
      </c>
      <c r="E124" s="20">
        <v>365485</v>
      </c>
      <c r="F124" t="s">
        <v>93</v>
      </c>
      <c r="H124" s="8" t="str">
        <f>+VLOOKUP(F124,Categories!A:B,2,)</f>
        <v>Cleaning</v>
      </c>
      <c r="I124" s="4">
        <v>44.64</v>
      </c>
      <c r="L124" s="4">
        <v>5.36</v>
      </c>
      <c r="M124" s="4">
        <v>50</v>
      </c>
      <c r="N124" s="4">
        <v>2.5</v>
      </c>
      <c r="O124" s="4">
        <v>3.5000000000000004</v>
      </c>
      <c r="P124" s="4">
        <v>6</v>
      </c>
      <c r="Q124" t="s">
        <v>19</v>
      </c>
      <c r="R124" s="4">
        <v>56</v>
      </c>
      <c r="S124" s="8" t="s">
        <v>50</v>
      </c>
      <c r="T124" s="20">
        <v>50340</v>
      </c>
    </row>
    <row r="125" spans="1:20" ht="19.2" customHeight="1" x14ac:dyDescent="0.3">
      <c r="A125" s="6">
        <v>45716</v>
      </c>
      <c r="B125" t="s">
        <v>98</v>
      </c>
      <c r="C125" s="20">
        <v>1117</v>
      </c>
      <c r="D125" s="21">
        <v>3600242223</v>
      </c>
      <c r="E125" s="20">
        <v>365496</v>
      </c>
      <c r="F125" t="s">
        <v>93</v>
      </c>
      <c r="H125" s="8" t="str">
        <f>+VLOOKUP(F125,Categories!A:B,2,)</f>
        <v>Cleaning</v>
      </c>
      <c r="I125" s="4">
        <v>44.64</v>
      </c>
      <c r="L125" s="4">
        <v>5.36</v>
      </c>
      <c r="M125" s="4">
        <v>50</v>
      </c>
      <c r="N125" s="4">
        <v>2.5</v>
      </c>
      <c r="O125" s="4">
        <v>3.5000000000000004</v>
      </c>
      <c r="P125" s="4">
        <v>6</v>
      </c>
      <c r="Q125" t="s">
        <v>19</v>
      </c>
      <c r="R125" s="4">
        <v>56</v>
      </c>
      <c r="S125" s="8" t="s">
        <v>50</v>
      </c>
      <c r="T125" s="20">
        <v>50463</v>
      </c>
    </row>
    <row r="126" spans="1:20" ht="19.2" customHeight="1" x14ac:dyDescent="0.3">
      <c r="A126" s="6">
        <v>45716</v>
      </c>
      <c r="B126" t="s">
        <v>98</v>
      </c>
      <c r="C126" s="20">
        <v>1117</v>
      </c>
      <c r="D126" s="21">
        <v>3600242223</v>
      </c>
      <c r="E126" s="20">
        <v>365509</v>
      </c>
      <c r="F126" t="s">
        <v>93</v>
      </c>
      <c r="H126" s="8" t="str">
        <f>+VLOOKUP(F126,Categories!A:B,2,)</f>
        <v>Cleaning</v>
      </c>
      <c r="I126">
        <v>44.64</v>
      </c>
      <c r="J126"/>
      <c r="K126"/>
      <c r="L126">
        <v>5.36</v>
      </c>
      <c r="M126">
        <v>50</v>
      </c>
      <c r="N126">
        <v>2.5</v>
      </c>
      <c r="O126">
        <v>3.5000000000000004</v>
      </c>
      <c r="P126">
        <v>6</v>
      </c>
      <c r="Q126" t="s">
        <v>19</v>
      </c>
      <c r="R126">
        <v>56</v>
      </c>
      <c r="S126" t="s">
        <v>27</v>
      </c>
      <c r="T126" s="20">
        <v>11714</v>
      </c>
    </row>
    <row r="127" spans="1:20" ht="19.2" customHeight="1" x14ac:dyDescent="0.3">
      <c r="A127" s="6">
        <v>45716</v>
      </c>
      <c r="B127" t="s">
        <v>98</v>
      </c>
      <c r="C127" s="20">
        <v>1117</v>
      </c>
      <c r="D127" s="21">
        <v>3600242223</v>
      </c>
      <c r="E127" s="20">
        <v>365512</v>
      </c>
      <c r="F127" t="s">
        <v>93</v>
      </c>
      <c r="H127" s="8" t="str">
        <f>+VLOOKUP(F127,Categories!A:B,2,)</f>
        <v>Cleaning</v>
      </c>
      <c r="I127" s="4">
        <v>44.64</v>
      </c>
      <c r="L127" s="4">
        <v>5.36</v>
      </c>
      <c r="M127" s="4">
        <v>50</v>
      </c>
      <c r="N127" s="4">
        <v>2.5</v>
      </c>
      <c r="O127" s="4">
        <v>3.5000000000000004</v>
      </c>
      <c r="P127" s="4">
        <v>6</v>
      </c>
      <c r="Q127" t="s">
        <v>19</v>
      </c>
      <c r="R127" s="4">
        <v>56</v>
      </c>
      <c r="S127" s="8" t="s">
        <v>50</v>
      </c>
      <c r="T127" s="20">
        <v>50229</v>
      </c>
    </row>
    <row r="128" spans="1:20" ht="19.2" customHeight="1" x14ac:dyDescent="0.3">
      <c r="A128" s="6">
        <v>45716</v>
      </c>
      <c r="B128" t="s">
        <v>98</v>
      </c>
      <c r="C128" s="20">
        <v>1117</v>
      </c>
      <c r="D128" s="21">
        <v>3600242223</v>
      </c>
      <c r="E128" s="20">
        <v>365516</v>
      </c>
      <c r="F128" t="s">
        <v>93</v>
      </c>
      <c r="H128" s="8" t="str">
        <f>+VLOOKUP(F128,Categories!A:B,2,)</f>
        <v>Cleaning</v>
      </c>
      <c r="I128" s="4">
        <v>44.64</v>
      </c>
      <c r="L128" s="4">
        <v>5.36</v>
      </c>
      <c r="M128" s="4">
        <v>50</v>
      </c>
      <c r="N128" s="4">
        <v>2.5</v>
      </c>
      <c r="O128" s="4">
        <v>3.5000000000000004</v>
      </c>
      <c r="P128" s="4">
        <v>6</v>
      </c>
      <c r="Q128" t="s">
        <v>19</v>
      </c>
      <c r="R128" s="4">
        <v>56</v>
      </c>
      <c r="S128" s="8" t="s">
        <v>50</v>
      </c>
      <c r="T128" s="20">
        <v>49875</v>
      </c>
    </row>
    <row r="129" spans="1:20" ht="19.2" customHeight="1" x14ac:dyDescent="0.3">
      <c r="A129" s="6">
        <v>45716</v>
      </c>
      <c r="B129" t="s">
        <v>98</v>
      </c>
      <c r="C129" s="20">
        <v>1117</v>
      </c>
      <c r="D129" s="21">
        <v>3600242223</v>
      </c>
      <c r="E129" s="20">
        <v>365585</v>
      </c>
      <c r="F129" t="s">
        <v>93</v>
      </c>
      <c r="H129" s="8" t="str">
        <f>+VLOOKUP(F129,Categories!A:B,2,)</f>
        <v>Cleaning</v>
      </c>
      <c r="I129" s="4">
        <v>44.64</v>
      </c>
      <c r="L129" s="4">
        <v>5.36</v>
      </c>
      <c r="M129" s="4">
        <v>50</v>
      </c>
      <c r="N129" s="4">
        <v>2.5</v>
      </c>
      <c r="O129" s="4">
        <v>3.5000000000000004</v>
      </c>
      <c r="P129" s="4">
        <v>6</v>
      </c>
      <c r="Q129" t="s">
        <v>19</v>
      </c>
      <c r="R129" s="4">
        <v>56</v>
      </c>
      <c r="S129" s="8" t="s">
        <v>50</v>
      </c>
      <c r="T129" s="20">
        <v>42963</v>
      </c>
    </row>
    <row r="130" spans="1:20" ht="19.2" customHeight="1" x14ac:dyDescent="0.3">
      <c r="A130" s="6">
        <v>45716</v>
      </c>
      <c r="B130" t="s">
        <v>98</v>
      </c>
      <c r="C130" s="20">
        <v>1117</v>
      </c>
      <c r="D130" s="21">
        <v>3600242223</v>
      </c>
      <c r="E130" s="20">
        <v>365586</v>
      </c>
      <c r="F130" t="s">
        <v>93</v>
      </c>
      <c r="H130" s="8" t="str">
        <f>+VLOOKUP(F130,Categories!A:B,2,)</f>
        <v>Cleaning</v>
      </c>
      <c r="I130">
        <v>44.64</v>
      </c>
      <c r="J130"/>
      <c r="K130"/>
      <c r="L130">
        <v>5.36</v>
      </c>
      <c r="M130">
        <v>50</v>
      </c>
      <c r="N130">
        <v>2.5</v>
      </c>
      <c r="O130">
        <v>3.5000000000000004</v>
      </c>
      <c r="P130">
        <v>6</v>
      </c>
      <c r="Q130" t="s">
        <v>19</v>
      </c>
      <c r="R130">
        <v>56</v>
      </c>
      <c r="S130" t="s">
        <v>27</v>
      </c>
      <c r="T130" s="20">
        <v>11724</v>
      </c>
    </row>
    <row r="131" spans="1:20" ht="19.2" customHeight="1" x14ac:dyDescent="0.3">
      <c r="A131" s="6">
        <v>45716</v>
      </c>
      <c r="B131" t="s">
        <v>98</v>
      </c>
      <c r="C131" s="20">
        <v>1117</v>
      </c>
      <c r="D131" s="21">
        <v>3600242223</v>
      </c>
      <c r="E131" s="20">
        <v>365587</v>
      </c>
      <c r="F131" t="s">
        <v>93</v>
      </c>
      <c r="H131" s="8" t="str">
        <f>+VLOOKUP(F131,Categories!A:B,2,)</f>
        <v>Cleaning</v>
      </c>
      <c r="I131" s="4">
        <v>44.64</v>
      </c>
      <c r="L131" s="4">
        <v>5.36</v>
      </c>
      <c r="M131" s="4">
        <v>50</v>
      </c>
      <c r="N131" s="4">
        <v>2.5</v>
      </c>
      <c r="O131" s="4">
        <v>3.5000000000000004</v>
      </c>
      <c r="P131" s="4">
        <v>6</v>
      </c>
      <c r="Q131" t="s">
        <v>19</v>
      </c>
      <c r="R131" s="4">
        <v>56</v>
      </c>
      <c r="S131" s="8" t="s">
        <v>50</v>
      </c>
      <c r="T131" s="20">
        <v>49875</v>
      </c>
    </row>
    <row r="132" spans="1:20" ht="19.2" customHeight="1" x14ac:dyDescent="0.3">
      <c r="A132" s="6">
        <v>45716</v>
      </c>
      <c r="B132" t="s">
        <v>98</v>
      </c>
      <c r="C132" s="20">
        <v>1117</v>
      </c>
      <c r="D132" s="21">
        <v>3600242223</v>
      </c>
      <c r="E132" s="20">
        <v>365591</v>
      </c>
      <c r="F132" t="s">
        <v>93</v>
      </c>
      <c r="H132" s="8" t="str">
        <f>+VLOOKUP(F132,Categories!A:B,2,)</f>
        <v>Cleaning</v>
      </c>
      <c r="I132" s="4">
        <v>44.64</v>
      </c>
      <c r="L132" s="4">
        <v>5.36</v>
      </c>
      <c r="M132" s="4">
        <v>50</v>
      </c>
      <c r="N132" s="4">
        <v>2.5</v>
      </c>
      <c r="O132" s="4">
        <v>3.5000000000000004</v>
      </c>
      <c r="P132" s="4">
        <v>6</v>
      </c>
      <c r="Q132" t="s">
        <v>19</v>
      </c>
      <c r="R132" s="4">
        <v>56</v>
      </c>
      <c r="S132" s="8" t="s">
        <v>50</v>
      </c>
      <c r="T132" s="20">
        <v>50006</v>
      </c>
    </row>
    <row r="133" spans="1:20" ht="19.2" customHeight="1" x14ac:dyDescent="0.3">
      <c r="A133" s="6">
        <v>45716</v>
      </c>
      <c r="B133" t="s">
        <v>98</v>
      </c>
      <c r="C133" s="20">
        <v>1117</v>
      </c>
      <c r="D133" s="21">
        <v>3600242223</v>
      </c>
      <c r="E133" s="20">
        <v>365606</v>
      </c>
      <c r="F133" t="s">
        <v>93</v>
      </c>
      <c r="H133" s="8" t="str">
        <f>+VLOOKUP(F133,Categories!A:B,2,)</f>
        <v>Cleaning</v>
      </c>
      <c r="I133" s="4">
        <v>44.64</v>
      </c>
      <c r="L133" s="4">
        <v>5.36</v>
      </c>
      <c r="M133" s="4">
        <v>50</v>
      </c>
      <c r="N133" s="4">
        <v>2.5</v>
      </c>
      <c r="O133" s="4">
        <v>3.5000000000000004</v>
      </c>
      <c r="P133" s="4">
        <v>6</v>
      </c>
      <c r="Q133" t="s">
        <v>19</v>
      </c>
      <c r="R133" s="4">
        <v>56</v>
      </c>
      <c r="S133" s="8" t="s">
        <v>50</v>
      </c>
      <c r="T133" s="20">
        <v>50565</v>
      </c>
    </row>
    <row r="134" spans="1:20" ht="19.2" customHeight="1" x14ac:dyDescent="0.3">
      <c r="A134" s="6">
        <v>45716</v>
      </c>
      <c r="B134" s="8" t="s">
        <v>97</v>
      </c>
      <c r="C134" s="20">
        <v>1078</v>
      </c>
      <c r="D134" s="21">
        <v>3600242224</v>
      </c>
      <c r="E134" s="20">
        <v>318867</v>
      </c>
      <c r="F134" t="s">
        <v>89</v>
      </c>
      <c r="H134" s="8" t="str">
        <f>+VLOOKUP(F134,Categories!A:B,2,)</f>
        <v>Hardware &amp; OTA</v>
      </c>
      <c r="I134" s="4">
        <v>234.77</v>
      </c>
      <c r="L134" s="4">
        <v>85.98</v>
      </c>
      <c r="M134" s="4">
        <v>320.75</v>
      </c>
      <c r="N134" s="4">
        <v>16.037500000000001</v>
      </c>
      <c r="O134" s="4">
        <v>22.452500000000001</v>
      </c>
      <c r="P134" s="4">
        <v>38.49</v>
      </c>
      <c r="Q134" t="s">
        <v>19</v>
      </c>
      <c r="R134" s="4">
        <v>359.24</v>
      </c>
      <c r="S134" s="8" t="s">
        <v>50</v>
      </c>
      <c r="T134" s="20">
        <v>44818</v>
      </c>
    </row>
    <row r="135" spans="1:20" ht="19.2" customHeight="1" x14ac:dyDescent="0.3">
      <c r="A135" s="6">
        <v>45716</v>
      </c>
      <c r="B135" s="8" t="s">
        <v>97</v>
      </c>
      <c r="C135" s="20">
        <v>1078</v>
      </c>
      <c r="D135" s="21">
        <v>3600242224</v>
      </c>
      <c r="E135" s="20">
        <v>318926</v>
      </c>
      <c r="F135" t="s">
        <v>94</v>
      </c>
      <c r="H135" s="8" t="str">
        <f>+VLOOKUP(F135,Categories!A:B,2,)</f>
        <v>Hardware &amp; OTA</v>
      </c>
      <c r="I135" s="4">
        <v>171.95</v>
      </c>
      <c r="L135" s="4">
        <v>0</v>
      </c>
      <c r="M135" s="4">
        <v>171.95</v>
      </c>
      <c r="N135" s="4">
        <v>8.5975000000000001</v>
      </c>
      <c r="O135" s="4">
        <v>12.0365</v>
      </c>
      <c r="P135" s="4">
        <v>20.634</v>
      </c>
      <c r="Q135" t="s">
        <v>19</v>
      </c>
      <c r="R135" s="4">
        <v>192.584</v>
      </c>
      <c r="S135" s="8" t="s">
        <v>50</v>
      </c>
      <c r="T135" s="20" t="s">
        <v>115</v>
      </c>
    </row>
    <row r="136" spans="1:20" ht="19.2" customHeight="1" x14ac:dyDescent="0.3">
      <c r="A136" s="6">
        <v>45716</v>
      </c>
      <c r="B136" s="8" t="s">
        <v>97</v>
      </c>
      <c r="C136" s="20">
        <v>1078</v>
      </c>
      <c r="D136" s="21">
        <v>3600242224</v>
      </c>
      <c r="E136" s="20">
        <v>318923</v>
      </c>
      <c r="F136" t="s">
        <v>94</v>
      </c>
      <c r="H136" s="8" t="str">
        <f>+VLOOKUP(F136,Categories!A:B,2,)</f>
        <v>Hardware &amp; OTA</v>
      </c>
      <c r="I136" s="4">
        <v>171.95</v>
      </c>
      <c r="L136" s="4">
        <v>0</v>
      </c>
      <c r="M136" s="4">
        <v>171.95</v>
      </c>
      <c r="N136" s="4">
        <v>8.5975000000000001</v>
      </c>
      <c r="O136" s="4">
        <v>12.0365</v>
      </c>
      <c r="P136" s="4">
        <v>20.634</v>
      </c>
      <c r="Q136" t="s">
        <v>19</v>
      </c>
      <c r="R136" s="4">
        <v>192.584</v>
      </c>
      <c r="S136" s="8" t="s">
        <v>50</v>
      </c>
      <c r="T136" s="20">
        <v>45254</v>
      </c>
    </row>
    <row r="137" spans="1:20" ht="19.2" customHeight="1" x14ac:dyDescent="0.3">
      <c r="A137" s="6">
        <v>45716</v>
      </c>
      <c r="B137" s="8" t="s">
        <v>97</v>
      </c>
      <c r="C137" s="20">
        <v>1078</v>
      </c>
      <c r="D137" s="21">
        <v>3600242224</v>
      </c>
      <c r="E137" s="20">
        <v>318922</v>
      </c>
      <c r="F137" t="s">
        <v>94</v>
      </c>
      <c r="H137" s="8" t="str">
        <f>+VLOOKUP(F137,Categories!A:B,2,)</f>
        <v>Hardware &amp; OTA</v>
      </c>
      <c r="I137" s="4">
        <v>171.95</v>
      </c>
      <c r="L137" s="4">
        <v>0</v>
      </c>
      <c r="M137" s="4">
        <v>171.95</v>
      </c>
      <c r="N137" s="4">
        <v>8.5975000000000001</v>
      </c>
      <c r="O137" s="4">
        <v>12.0365</v>
      </c>
      <c r="P137" s="4">
        <v>20.634</v>
      </c>
      <c r="Q137" t="s">
        <v>19</v>
      </c>
      <c r="R137" s="4">
        <v>192.584</v>
      </c>
      <c r="S137" s="8" t="s">
        <v>50</v>
      </c>
      <c r="T137" s="20">
        <v>28907</v>
      </c>
    </row>
    <row r="138" spans="1:20" ht="19.2" customHeight="1" x14ac:dyDescent="0.3">
      <c r="A138" s="6">
        <v>45716</v>
      </c>
      <c r="B138" s="8" t="s">
        <v>97</v>
      </c>
      <c r="C138" s="20">
        <v>1078</v>
      </c>
      <c r="D138" s="21">
        <v>3600242224</v>
      </c>
      <c r="E138" s="20">
        <v>318925</v>
      </c>
      <c r="F138" t="s">
        <v>94</v>
      </c>
      <c r="H138" s="8" t="str">
        <f>+VLOOKUP(F138,Categories!A:B,2,)</f>
        <v>Hardware &amp; OTA</v>
      </c>
      <c r="I138" s="4">
        <v>171.95</v>
      </c>
      <c r="L138" s="4">
        <v>0</v>
      </c>
      <c r="M138" s="4">
        <v>171.95</v>
      </c>
      <c r="N138" s="4">
        <v>8.5975000000000001</v>
      </c>
      <c r="O138" s="4">
        <v>12.0365</v>
      </c>
      <c r="P138" s="4">
        <v>20.634</v>
      </c>
      <c r="Q138" t="s">
        <v>19</v>
      </c>
      <c r="R138" s="4">
        <v>192.584</v>
      </c>
      <c r="S138" s="8" t="s">
        <v>50</v>
      </c>
      <c r="T138" s="20">
        <v>29083</v>
      </c>
    </row>
  </sheetData>
  <conditionalFormatting sqref="E72">
    <cfRule type="duplicateValues" dxfId="8" priority="9"/>
  </conditionalFormatting>
  <conditionalFormatting sqref="E73">
    <cfRule type="duplicateValues" dxfId="7" priority="8"/>
  </conditionalFormatting>
  <conditionalFormatting sqref="E74">
    <cfRule type="duplicateValues" dxfId="6" priority="7"/>
  </conditionalFormatting>
  <conditionalFormatting sqref="E77">
    <cfRule type="duplicateValues" dxfId="5" priority="6"/>
  </conditionalFormatting>
  <conditionalFormatting sqref="E86">
    <cfRule type="duplicateValues" dxfId="4" priority="5"/>
  </conditionalFormatting>
  <conditionalFormatting sqref="E87:E90">
    <cfRule type="duplicateValues" dxfId="3" priority="4"/>
  </conditionalFormatting>
  <conditionalFormatting sqref="E116">
    <cfRule type="duplicateValues" dxfId="2" priority="3"/>
  </conditionalFormatting>
  <conditionalFormatting sqref="E117:E121">
    <cfRule type="duplicateValues" dxfId="1" priority="2"/>
  </conditionalFormatting>
  <conditionalFormatting sqref="E122">
    <cfRule type="duplicateValues" dxfId="0" priority="1"/>
  </conditionalFormatting>
  <pageMargins left="0.7" right="0.7" top="0.75" bottom="0.75" header="0.3" footer="0.3"/>
  <headerFooter>
    <oddFooter>&amp;C_x000D_&amp;1#&amp;"Aptos"&amp;10&amp;K000000 •• PROTECTED 関係者外秘 PROTÉGÉ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4088-04E8-4068-A4E7-FFDD5BD39FF3}">
  <dimension ref="A2:B64"/>
  <sheetViews>
    <sheetView topLeftCell="A17" workbookViewId="0">
      <selection activeCell="B64" sqref="B64"/>
    </sheetView>
  </sheetViews>
  <sheetFormatPr defaultRowHeight="14.4" x14ac:dyDescent="0.3"/>
  <cols>
    <col min="1" max="1" width="29.21875" customWidth="1"/>
    <col min="2" max="2" width="27.109375" customWidth="1"/>
  </cols>
  <sheetData>
    <row r="2" spans="1:2" x14ac:dyDescent="0.3">
      <c r="A2" s="26" t="s">
        <v>1</v>
      </c>
      <c r="B2" s="26" t="s">
        <v>99</v>
      </c>
    </row>
    <row r="3" spans="1:2" x14ac:dyDescent="0.3">
      <c r="A3" s="26" t="s">
        <v>18</v>
      </c>
      <c r="B3" s="26" t="s">
        <v>100</v>
      </c>
    </row>
    <row r="4" spans="1:2" x14ac:dyDescent="0.3">
      <c r="A4" s="26" t="s">
        <v>20</v>
      </c>
      <c r="B4" s="26" t="s">
        <v>101</v>
      </c>
    </row>
    <row r="5" spans="1:2" x14ac:dyDescent="0.3">
      <c r="A5" s="26" t="s">
        <v>21</v>
      </c>
      <c r="B5" s="26" t="s">
        <v>101</v>
      </c>
    </row>
    <row r="6" spans="1:2" x14ac:dyDescent="0.3">
      <c r="A6" s="26" t="s">
        <v>24</v>
      </c>
      <c r="B6" s="26" t="s">
        <v>100</v>
      </c>
    </row>
    <row r="7" spans="1:2" x14ac:dyDescent="0.3">
      <c r="A7" s="26" t="s">
        <v>102</v>
      </c>
      <c r="B7" s="26" t="s">
        <v>101</v>
      </c>
    </row>
    <row r="8" spans="1:2" x14ac:dyDescent="0.3">
      <c r="A8" s="26" t="s">
        <v>26</v>
      </c>
      <c r="B8" s="26" t="s">
        <v>103</v>
      </c>
    </row>
    <row r="9" spans="1:2" x14ac:dyDescent="0.3">
      <c r="A9" s="26" t="s">
        <v>28</v>
      </c>
      <c r="B9" s="26" t="s">
        <v>101</v>
      </c>
    </row>
    <row r="10" spans="1:2" x14ac:dyDescent="0.3">
      <c r="A10" s="26" t="s">
        <v>30</v>
      </c>
      <c r="B10" s="26" t="s">
        <v>99</v>
      </c>
    </row>
    <row r="11" spans="1:2" x14ac:dyDescent="0.3">
      <c r="A11" s="26" t="s">
        <v>31</v>
      </c>
      <c r="B11" s="26" t="s">
        <v>100</v>
      </c>
    </row>
    <row r="12" spans="1:2" x14ac:dyDescent="0.3">
      <c r="A12" s="26" t="s">
        <v>32</v>
      </c>
      <c r="B12" s="26" t="s">
        <v>103</v>
      </c>
    </row>
    <row r="13" spans="1:2" x14ac:dyDescent="0.3">
      <c r="A13" s="26" t="s">
        <v>33</v>
      </c>
      <c r="B13" s="26" t="s">
        <v>100</v>
      </c>
    </row>
    <row r="14" spans="1:2" x14ac:dyDescent="0.3">
      <c r="A14" s="26" t="s">
        <v>34</v>
      </c>
      <c r="B14" s="26" t="s">
        <v>103</v>
      </c>
    </row>
    <row r="15" spans="1:2" x14ac:dyDescent="0.3">
      <c r="A15" s="26" t="s">
        <v>35</v>
      </c>
      <c r="B15" s="26" t="s">
        <v>104</v>
      </c>
    </row>
    <row r="16" spans="1:2" x14ac:dyDescent="0.3">
      <c r="A16" s="26" t="s">
        <v>36</v>
      </c>
      <c r="B16" s="26" t="s">
        <v>103</v>
      </c>
    </row>
    <row r="17" spans="1:2" x14ac:dyDescent="0.3">
      <c r="A17" s="26" t="s">
        <v>37</v>
      </c>
      <c r="B17" s="26" t="s">
        <v>101</v>
      </c>
    </row>
    <row r="18" spans="1:2" x14ac:dyDescent="0.3">
      <c r="A18" s="26" t="s">
        <v>38</v>
      </c>
      <c r="B18" s="26" t="s">
        <v>104</v>
      </c>
    </row>
    <row r="19" spans="1:2" x14ac:dyDescent="0.3">
      <c r="A19" s="26" t="s">
        <v>39</v>
      </c>
      <c r="B19" s="26" t="s">
        <v>101</v>
      </c>
    </row>
    <row r="20" spans="1:2" x14ac:dyDescent="0.3">
      <c r="A20" s="26" t="s">
        <v>40</v>
      </c>
      <c r="B20" s="26" t="s">
        <v>103</v>
      </c>
    </row>
    <row r="21" spans="1:2" x14ac:dyDescent="0.3">
      <c r="A21" s="26" t="s">
        <v>42</v>
      </c>
      <c r="B21" s="26" t="s">
        <v>100</v>
      </c>
    </row>
    <row r="22" spans="1:2" x14ac:dyDescent="0.3">
      <c r="A22" s="26" t="s">
        <v>44</v>
      </c>
      <c r="B22" s="26" t="s">
        <v>99</v>
      </c>
    </row>
    <row r="23" spans="1:2" x14ac:dyDescent="0.3">
      <c r="A23" s="26" t="s">
        <v>46</v>
      </c>
      <c r="B23" s="26" t="s">
        <v>100</v>
      </c>
    </row>
    <row r="24" spans="1:2" x14ac:dyDescent="0.3">
      <c r="A24" s="26" t="s">
        <v>47</v>
      </c>
      <c r="B24" s="26" t="s">
        <v>101</v>
      </c>
    </row>
    <row r="25" spans="1:2" x14ac:dyDescent="0.3">
      <c r="A25" s="26" t="s">
        <v>49</v>
      </c>
      <c r="B25" s="26" t="s">
        <v>101</v>
      </c>
    </row>
    <row r="26" spans="1:2" x14ac:dyDescent="0.3">
      <c r="A26" s="26" t="s">
        <v>51</v>
      </c>
      <c r="B26" s="26" t="s">
        <v>99</v>
      </c>
    </row>
    <row r="27" spans="1:2" ht="28.8" x14ac:dyDescent="0.3">
      <c r="A27" s="26" t="s">
        <v>53</v>
      </c>
      <c r="B27" s="26" t="s">
        <v>101</v>
      </c>
    </row>
    <row r="28" spans="1:2" x14ac:dyDescent="0.3">
      <c r="A28" s="26" t="s">
        <v>54</v>
      </c>
      <c r="B28" s="26" t="s">
        <v>101</v>
      </c>
    </row>
    <row r="29" spans="1:2" x14ac:dyDescent="0.3">
      <c r="A29" s="26" t="s">
        <v>55</v>
      </c>
      <c r="B29" s="26" t="s">
        <v>99</v>
      </c>
    </row>
    <row r="30" spans="1:2" x14ac:dyDescent="0.3">
      <c r="A30" s="26" t="s">
        <v>57</v>
      </c>
      <c r="B30" s="26" t="s">
        <v>101</v>
      </c>
    </row>
    <row r="31" spans="1:2" x14ac:dyDescent="0.3">
      <c r="A31" s="26" t="s">
        <v>58</v>
      </c>
      <c r="B31" s="26" t="s">
        <v>100</v>
      </c>
    </row>
    <row r="32" spans="1:2" x14ac:dyDescent="0.3">
      <c r="A32" s="26" t="s">
        <v>59</v>
      </c>
      <c r="B32" s="26" t="s">
        <v>103</v>
      </c>
    </row>
    <row r="33" spans="1:2" x14ac:dyDescent="0.3">
      <c r="A33" s="26" t="s">
        <v>60</v>
      </c>
      <c r="B33" s="26" t="s">
        <v>101</v>
      </c>
    </row>
    <row r="34" spans="1:2" x14ac:dyDescent="0.3">
      <c r="A34" s="26" t="s">
        <v>62</v>
      </c>
      <c r="B34" s="26" t="s">
        <v>103</v>
      </c>
    </row>
    <row r="35" spans="1:2" x14ac:dyDescent="0.3">
      <c r="A35" s="26" t="s">
        <v>64</v>
      </c>
      <c r="B35" s="26" t="s">
        <v>101</v>
      </c>
    </row>
    <row r="36" spans="1:2" x14ac:dyDescent="0.3">
      <c r="A36" s="26" t="s">
        <v>65</v>
      </c>
      <c r="B36" s="26" t="s">
        <v>103</v>
      </c>
    </row>
    <row r="37" spans="1:2" x14ac:dyDescent="0.3">
      <c r="A37" s="26" t="s">
        <v>66</v>
      </c>
      <c r="B37" s="26" t="s">
        <v>103</v>
      </c>
    </row>
    <row r="38" spans="1:2" x14ac:dyDescent="0.3">
      <c r="A38" s="26" t="s">
        <v>67</v>
      </c>
      <c r="B38" s="26" t="s">
        <v>105</v>
      </c>
    </row>
    <row r="39" spans="1:2" x14ac:dyDescent="0.3">
      <c r="A39" s="26" t="s">
        <v>68</v>
      </c>
      <c r="B39" s="26" t="s">
        <v>99</v>
      </c>
    </row>
    <row r="40" spans="1:2" x14ac:dyDescent="0.3">
      <c r="A40" s="26" t="s">
        <v>69</v>
      </c>
      <c r="B40" s="26" t="s">
        <v>105</v>
      </c>
    </row>
    <row r="41" spans="1:2" x14ac:dyDescent="0.3">
      <c r="A41" s="26" t="s">
        <v>70</v>
      </c>
      <c r="B41" s="26" t="s">
        <v>101</v>
      </c>
    </row>
    <row r="42" spans="1:2" x14ac:dyDescent="0.3">
      <c r="A42" s="26" t="s">
        <v>71</v>
      </c>
      <c r="B42" s="26" t="s">
        <v>100</v>
      </c>
    </row>
    <row r="43" spans="1:2" x14ac:dyDescent="0.3">
      <c r="A43" s="26" t="s">
        <v>73</v>
      </c>
      <c r="B43" s="26" t="s">
        <v>100</v>
      </c>
    </row>
    <row r="44" spans="1:2" x14ac:dyDescent="0.3">
      <c r="A44" s="26" t="s">
        <v>106</v>
      </c>
      <c r="B44" s="26" t="s">
        <v>99</v>
      </c>
    </row>
    <row r="45" spans="1:2" x14ac:dyDescent="0.3">
      <c r="A45" s="26" t="s">
        <v>76</v>
      </c>
      <c r="B45" s="26" t="s">
        <v>101</v>
      </c>
    </row>
    <row r="46" spans="1:2" x14ac:dyDescent="0.3">
      <c r="A46" s="26" t="s">
        <v>79</v>
      </c>
      <c r="B46" s="26" t="s">
        <v>103</v>
      </c>
    </row>
    <row r="47" spans="1:2" x14ac:dyDescent="0.3">
      <c r="A47" s="26" t="s">
        <v>80</v>
      </c>
      <c r="B47" s="26" t="s">
        <v>100</v>
      </c>
    </row>
    <row r="48" spans="1:2" x14ac:dyDescent="0.3">
      <c r="A48" s="26" t="s">
        <v>81</v>
      </c>
      <c r="B48" s="26" t="s">
        <v>99</v>
      </c>
    </row>
    <row r="49" spans="1:2" x14ac:dyDescent="0.3">
      <c r="A49" s="26" t="s">
        <v>82</v>
      </c>
      <c r="B49" s="26" t="s">
        <v>99</v>
      </c>
    </row>
    <row r="50" spans="1:2" x14ac:dyDescent="0.3">
      <c r="A50" s="26" t="s">
        <v>83</v>
      </c>
      <c r="B50" s="26" t="s">
        <v>105</v>
      </c>
    </row>
    <row r="51" spans="1:2" x14ac:dyDescent="0.3">
      <c r="A51" s="26" t="s">
        <v>84</v>
      </c>
      <c r="B51" s="26" t="s">
        <v>100</v>
      </c>
    </row>
    <row r="52" spans="1:2" x14ac:dyDescent="0.3">
      <c r="A52" s="26" t="s">
        <v>85</v>
      </c>
      <c r="B52" s="26" t="s">
        <v>105</v>
      </c>
    </row>
    <row r="53" spans="1:2" x14ac:dyDescent="0.3">
      <c r="A53" s="26" t="s">
        <v>86</v>
      </c>
      <c r="B53" s="26" t="s">
        <v>104</v>
      </c>
    </row>
    <row r="54" spans="1:2" x14ac:dyDescent="0.3">
      <c r="A54" s="26" t="s">
        <v>87</v>
      </c>
      <c r="B54" s="26" t="s">
        <v>99</v>
      </c>
    </row>
    <row r="55" spans="1:2" x14ac:dyDescent="0.3">
      <c r="A55" s="26" t="s">
        <v>88</v>
      </c>
      <c r="B55" s="26" t="s">
        <v>100</v>
      </c>
    </row>
    <row r="56" spans="1:2" x14ac:dyDescent="0.3">
      <c r="A56" s="26" t="s">
        <v>107</v>
      </c>
      <c r="B56" s="26" t="s">
        <v>105</v>
      </c>
    </row>
    <row r="57" spans="1:2" x14ac:dyDescent="0.3">
      <c r="A57" s="26" t="s">
        <v>90</v>
      </c>
      <c r="B57" s="26" t="s">
        <v>101</v>
      </c>
    </row>
    <row r="58" spans="1:2" x14ac:dyDescent="0.3">
      <c r="A58" s="26" t="s">
        <v>92</v>
      </c>
      <c r="B58" s="26" t="s">
        <v>100</v>
      </c>
    </row>
    <row r="59" spans="1:2" x14ac:dyDescent="0.3">
      <c r="A59" s="26" t="s">
        <v>93</v>
      </c>
      <c r="B59" s="26" t="s">
        <v>93</v>
      </c>
    </row>
    <row r="60" spans="1:2" x14ac:dyDescent="0.3">
      <c r="A60" s="26" t="s">
        <v>94</v>
      </c>
      <c r="B60" s="26" t="s">
        <v>105</v>
      </c>
    </row>
    <row r="61" spans="1:2" x14ac:dyDescent="0.3">
      <c r="A61" s="26" t="s">
        <v>91</v>
      </c>
      <c r="B61" s="26" t="s">
        <v>99</v>
      </c>
    </row>
    <row r="62" spans="1:2" x14ac:dyDescent="0.3">
      <c r="A62" s="8" t="s">
        <v>25</v>
      </c>
      <c r="B62" s="26" t="s">
        <v>101</v>
      </c>
    </row>
    <row r="63" spans="1:2" x14ac:dyDescent="0.3">
      <c r="A63" t="s">
        <v>74</v>
      </c>
      <c r="B63" s="26" t="s">
        <v>101</v>
      </c>
    </row>
    <row r="64" spans="1:2" x14ac:dyDescent="0.3">
      <c r="A64" t="s">
        <v>89</v>
      </c>
      <c r="B64" s="26" t="s">
        <v>105</v>
      </c>
    </row>
  </sheetData>
  <pageMargins left="0.7" right="0.7" top="0.75" bottom="0.75" header="0.3" footer="0.3"/>
  <headerFooter>
    <oddFooter>&amp;C_x000D_&amp;1#&amp;"Aptos"&amp;10&amp;K000000 •• PROTECTED 関係者外秘 PROTÉGÉ</oddFooter>
  </headerFooter>
</worksheet>
</file>

<file path=docMetadata/LabelInfo.xml><?xml version="1.0" encoding="utf-8"?>
<clbl:labelList xmlns:clbl="http://schemas.microsoft.com/office/2020/mipLabelMetadata">
  <clbl:label id="{fcec5505-8291-4cd2-be3c-852f3a7697ca}" enabled="1" method="Standard" siteId="{8c642d1d-d709-47b0-ab10-080af10798f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Invoices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Fletcher (TCI)</dc:creator>
  <cp:lastModifiedBy>Javier Fletcher (TCI)</cp:lastModifiedBy>
  <dcterms:created xsi:type="dcterms:W3CDTF">2026-03-25T19:13:05Z</dcterms:created>
  <dcterms:modified xsi:type="dcterms:W3CDTF">2026-03-25T22:22:10Z</dcterms:modified>
</cp:coreProperties>
</file>