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etchj\VS Studio\Kinto\rental-analysis-app\"/>
    </mc:Choice>
  </mc:AlternateContent>
  <xr:revisionPtr revIDLastSave="0" documentId="13_ncr:1_{DB6BDC9E-DA92-48D2-9FE7-5F943130A6A8}" xr6:coauthVersionLast="47" xr6:coauthVersionMax="47" xr10:uidLastSave="{00000000-0000-0000-0000-000000000000}"/>
  <bookViews>
    <workbookView xWindow="13770" yWindow="-21720" windowWidth="38640" windowHeight="21120" xr2:uid="{3ED107D1-D873-4141-8248-895E32D05839}"/>
  </bookViews>
  <sheets>
    <sheet name="Invoices" sheetId="1" r:id="rId1"/>
    <sheet name="Categories" sheetId="2" r:id="rId2"/>
  </sheets>
  <externalReferences>
    <externalReference r:id="rId3"/>
  </externalReferences>
  <definedNames>
    <definedName name="_xlnm._FilterDatabase" localSheetId="0" hidden="1">Invoices!$H$1:$T$141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3" i="1" l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142" i="1"/>
  <c r="B143" i="1"/>
  <c r="C143" i="1"/>
  <c r="D143" i="1"/>
  <c r="E143" i="1"/>
  <c r="F143" i="1"/>
  <c r="B144" i="1"/>
  <c r="C144" i="1"/>
  <c r="D144" i="1"/>
  <c r="E144" i="1"/>
  <c r="F144" i="1"/>
  <c r="B145" i="1"/>
  <c r="C145" i="1"/>
  <c r="D145" i="1"/>
  <c r="E145" i="1"/>
  <c r="F145" i="1"/>
  <c r="B146" i="1"/>
  <c r="C146" i="1"/>
  <c r="D146" i="1"/>
  <c r="E146" i="1"/>
  <c r="F146" i="1"/>
  <c r="B147" i="1"/>
  <c r="C147" i="1"/>
  <c r="D147" i="1"/>
  <c r="E147" i="1"/>
  <c r="F147" i="1"/>
  <c r="B148" i="1"/>
  <c r="C148" i="1"/>
  <c r="D148" i="1"/>
  <c r="E148" i="1"/>
  <c r="F148" i="1"/>
  <c r="B149" i="1"/>
  <c r="C149" i="1"/>
  <c r="D149" i="1"/>
  <c r="E149" i="1"/>
  <c r="F149" i="1"/>
  <c r="B150" i="1"/>
  <c r="C150" i="1"/>
  <c r="D150" i="1"/>
  <c r="E150" i="1"/>
  <c r="F150" i="1"/>
  <c r="B151" i="1"/>
  <c r="C151" i="1"/>
  <c r="D151" i="1"/>
  <c r="E151" i="1"/>
  <c r="F151" i="1"/>
  <c r="B152" i="1"/>
  <c r="C152" i="1"/>
  <c r="D152" i="1"/>
  <c r="E152" i="1"/>
  <c r="F152" i="1"/>
  <c r="B153" i="1"/>
  <c r="C153" i="1"/>
  <c r="D153" i="1"/>
  <c r="E153" i="1"/>
  <c r="F153" i="1"/>
  <c r="B154" i="1"/>
  <c r="C154" i="1"/>
  <c r="D154" i="1"/>
  <c r="E154" i="1"/>
  <c r="F154" i="1"/>
  <c r="B155" i="1"/>
  <c r="C155" i="1"/>
  <c r="D155" i="1"/>
  <c r="E155" i="1"/>
  <c r="F155" i="1"/>
  <c r="B156" i="1"/>
  <c r="C156" i="1"/>
  <c r="D156" i="1"/>
  <c r="E156" i="1"/>
  <c r="F156" i="1"/>
  <c r="B157" i="1"/>
  <c r="C157" i="1"/>
  <c r="D157" i="1"/>
  <c r="E157" i="1"/>
  <c r="F157" i="1"/>
  <c r="B158" i="1"/>
  <c r="C158" i="1"/>
  <c r="D158" i="1"/>
  <c r="E158" i="1"/>
  <c r="F158" i="1"/>
  <c r="B159" i="1"/>
  <c r="C159" i="1"/>
  <c r="D159" i="1"/>
  <c r="E159" i="1"/>
  <c r="F159" i="1"/>
  <c r="B160" i="1"/>
  <c r="C160" i="1"/>
  <c r="D160" i="1"/>
  <c r="E160" i="1"/>
  <c r="F160" i="1"/>
  <c r="B161" i="1"/>
  <c r="C161" i="1"/>
  <c r="D161" i="1"/>
  <c r="E161" i="1"/>
  <c r="F161" i="1"/>
  <c r="B162" i="1"/>
  <c r="C162" i="1"/>
  <c r="D162" i="1"/>
  <c r="E162" i="1"/>
  <c r="F162" i="1"/>
  <c r="B163" i="1"/>
  <c r="C163" i="1"/>
  <c r="D163" i="1"/>
  <c r="E163" i="1"/>
  <c r="F163" i="1"/>
  <c r="B164" i="1"/>
  <c r="C164" i="1"/>
  <c r="D164" i="1"/>
  <c r="E164" i="1"/>
  <c r="F164" i="1"/>
  <c r="B165" i="1"/>
  <c r="C165" i="1"/>
  <c r="D165" i="1"/>
  <c r="E165" i="1"/>
  <c r="F165" i="1"/>
  <c r="B166" i="1"/>
  <c r="C166" i="1"/>
  <c r="D166" i="1"/>
  <c r="E166" i="1"/>
  <c r="F166" i="1"/>
  <c r="B167" i="1"/>
  <c r="C167" i="1"/>
  <c r="D167" i="1"/>
  <c r="E167" i="1"/>
  <c r="F167" i="1"/>
  <c r="B168" i="1"/>
  <c r="C168" i="1"/>
  <c r="D168" i="1"/>
  <c r="E168" i="1"/>
  <c r="F168" i="1"/>
  <c r="B169" i="1"/>
  <c r="C169" i="1"/>
  <c r="D169" i="1"/>
  <c r="E169" i="1"/>
  <c r="F169" i="1"/>
  <c r="B170" i="1"/>
  <c r="C170" i="1"/>
  <c r="D170" i="1"/>
  <c r="E170" i="1"/>
  <c r="F170" i="1"/>
  <c r="B171" i="1"/>
  <c r="C171" i="1"/>
  <c r="D171" i="1"/>
  <c r="E171" i="1"/>
  <c r="F171" i="1"/>
  <c r="B172" i="1"/>
  <c r="C172" i="1"/>
  <c r="D172" i="1"/>
  <c r="E172" i="1"/>
  <c r="F172" i="1"/>
  <c r="B173" i="1"/>
  <c r="C173" i="1"/>
  <c r="D173" i="1"/>
  <c r="E173" i="1"/>
  <c r="F173" i="1"/>
  <c r="B174" i="1"/>
  <c r="C174" i="1"/>
  <c r="D174" i="1"/>
  <c r="E174" i="1"/>
  <c r="F174" i="1"/>
  <c r="B175" i="1"/>
  <c r="C175" i="1"/>
  <c r="D175" i="1"/>
  <c r="E175" i="1"/>
  <c r="F175" i="1"/>
  <c r="B176" i="1"/>
  <c r="C176" i="1"/>
  <c r="D176" i="1"/>
  <c r="E176" i="1"/>
  <c r="F176" i="1"/>
  <c r="B177" i="1"/>
  <c r="C177" i="1"/>
  <c r="D177" i="1"/>
  <c r="E177" i="1"/>
  <c r="F177" i="1"/>
  <c r="B178" i="1"/>
  <c r="C178" i="1"/>
  <c r="D178" i="1"/>
  <c r="E178" i="1"/>
  <c r="F178" i="1"/>
  <c r="B179" i="1"/>
  <c r="C179" i="1"/>
  <c r="D179" i="1"/>
  <c r="E179" i="1"/>
  <c r="F179" i="1"/>
  <c r="B180" i="1"/>
  <c r="C180" i="1"/>
  <c r="D180" i="1"/>
  <c r="E180" i="1"/>
  <c r="F180" i="1"/>
  <c r="B181" i="1"/>
  <c r="C181" i="1"/>
  <c r="D181" i="1"/>
  <c r="E181" i="1"/>
  <c r="F181" i="1"/>
  <c r="B182" i="1"/>
  <c r="C182" i="1"/>
  <c r="D182" i="1"/>
  <c r="E182" i="1"/>
  <c r="F182" i="1"/>
  <c r="B183" i="1"/>
  <c r="C183" i="1"/>
  <c r="D183" i="1"/>
  <c r="E183" i="1"/>
  <c r="F183" i="1"/>
  <c r="B184" i="1"/>
  <c r="C184" i="1"/>
  <c r="D184" i="1"/>
  <c r="E184" i="1"/>
  <c r="F184" i="1"/>
  <c r="B185" i="1"/>
  <c r="C185" i="1"/>
  <c r="D185" i="1"/>
  <c r="E185" i="1"/>
  <c r="F185" i="1"/>
  <c r="B186" i="1"/>
  <c r="C186" i="1"/>
  <c r="D186" i="1"/>
  <c r="E186" i="1"/>
  <c r="F186" i="1"/>
  <c r="B187" i="1"/>
  <c r="C187" i="1"/>
  <c r="D187" i="1"/>
  <c r="E187" i="1"/>
  <c r="F187" i="1"/>
  <c r="B188" i="1"/>
  <c r="C188" i="1"/>
  <c r="D188" i="1"/>
  <c r="E188" i="1"/>
  <c r="F188" i="1"/>
  <c r="B189" i="1"/>
  <c r="C189" i="1"/>
  <c r="D189" i="1"/>
  <c r="E189" i="1"/>
  <c r="F189" i="1"/>
  <c r="B190" i="1"/>
  <c r="C190" i="1"/>
  <c r="D190" i="1"/>
  <c r="E190" i="1"/>
  <c r="F190" i="1"/>
  <c r="B191" i="1"/>
  <c r="C191" i="1"/>
  <c r="D191" i="1"/>
  <c r="E191" i="1"/>
  <c r="F191" i="1"/>
  <c r="B192" i="1"/>
  <c r="C192" i="1"/>
  <c r="D192" i="1"/>
  <c r="E192" i="1"/>
  <c r="F192" i="1"/>
  <c r="B193" i="1"/>
  <c r="C193" i="1"/>
  <c r="D193" i="1"/>
  <c r="E193" i="1"/>
  <c r="F193" i="1"/>
  <c r="B194" i="1"/>
  <c r="C194" i="1"/>
  <c r="D194" i="1"/>
  <c r="E194" i="1"/>
  <c r="F194" i="1"/>
  <c r="B195" i="1"/>
  <c r="C195" i="1"/>
  <c r="D195" i="1"/>
  <c r="E195" i="1"/>
  <c r="F195" i="1"/>
  <c r="B196" i="1"/>
  <c r="C196" i="1"/>
  <c r="D196" i="1"/>
  <c r="E196" i="1"/>
  <c r="F196" i="1"/>
  <c r="B197" i="1"/>
  <c r="C197" i="1"/>
  <c r="D197" i="1"/>
  <c r="E197" i="1"/>
  <c r="F197" i="1"/>
  <c r="B198" i="1"/>
  <c r="C198" i="1"/>
  <c r="D198" i="1"/>
  <c r="E198" i="1"/>
  <c r="F198" i="1"/>
  <c r="B199" i="1"/>
  <c r="C199" i="1"/>
  <c r="D199" i="1"/>
  <c r="E199" i="1"/>
  <c r="F199" i="1"/>
  <c r="B200" i="1"/>
  <c r="C200" i="1"/>
  <c r="D200" i="1"/>
  <c r="E200" i="1"/>
  <c r="F200" i="1"/>
  <c r="B201" i="1"/>
  <c r="C201" i="1"/>
  <c r="D201" i="1"/>
  <c r="E201" i="1"/>
  <c r="F201" i="1"/>
  <c r="B202" i="1"/>
  <c r="C202" i="1"/>
  <c r="D202" i="1"/>
  <c r="E202" i="1"/>
  <c r="F202" i="1"/>
  <c r="B203" i="1"/>
  <c r="C203" i="1"/>
  <c r="D203" i="1"/>
  <c r="E203" i="1"/>
  <c r="F203" i="1"/>
  <c r="B204" i="1"/>
  <c r="C204" i="1"/>
  <c r="D204" i="1"/>
  <c r="E204" i="1"/>
  <c r="F204" i="1"/>
  <c r="B205" i="1"/>
  <c r="C205" i="1"/>
  <c r="D205" i="1"/>
  <c r="E205" i="1"/>
  <c r="F205" i="1"/>
  <c r="B206" i="1"/>
  <c r="C206" i="1"/>
  <c r="D206" i="1"/>
  <c r="E206" i="1"/>
  <c r="F206" i="1"/>
  <c r="B207" i="1"/>
  <c r="C207" i="1"/>
  <c r="D207" i="1"/>
  <c r="E207" i="1"/>
  <c r="F207" i="1"/>
  <c r="B208" i="1"/>
  <c r="C208" i="1"/>
  <c r="D208" i="1"/>
  <c r="E208" i="1"/>
  <c r="F208" i="1"/>
  <c r="B209" i="1"/>
  <c r="C209" i="1"/>
  <c r="D209" i="1"/>
  <c r="E209" i="1"/>
  <c r="F209" i="1"/>
  <c r="B210" i="1"/>
  <c r="C210" i="1"/>
  <c r="D210" i="1"/>
  <c r="E210" i="1"/>
  <c r="F210" i="1"/>
  <c r="B211" i="1"/>
  <c r="C211" i="1"/>
  <c r="D211" i="1"/>
  <c r="E211" i="1"/>
  <c r="F211" i="1"/>
  <c r="B212" i="1"/>
  <c r="C212" i="1"/>
  <c r="D212" i="1"/>
  <c r="E212" i="1"/>
  <c r="F212" i="1"/>
  <c r="B213" i="1"/>
  <c r="C213" i="1"/>
  <c r="D213" i="1"/>
  <c r="E213" i="1"/>
  <c r="F213" i="1"/>
  <c r="B214" i="1"/>
  <c r="C214" i="1"/>
  <c r="D214" i="1"/>
  <c r="E214" i="1"/>
  <c r="F214" i="1"/>
  <c r="B215" i="1"/>
  <c r="C215" i="1"/>
  <c r="D215" i="1"/>
  <c r="E215" i="1"/>
  <c r="F215" i="1"/>
  <c r="B216" i="1"/>
  <c r="C216" i="1"/>
  <c r="D216" i="1"/>
  <c r="E216" i="1"/>
  <c r="F216" i="1"/>
  <c r="B217" i="1"/>
  <c r="C217" i="1"/>
  <c r="D217" i="1"/>
  <c r="E217" i="1"/>
  <c r="F217" i="1"/>
  <c r="B218" i="1"/>
  <c r="C218" i="1"/>
  <c r="D218" i="1"/>
  <c r="E218" i="1"/>
  <c r="F218" i="1"/>
  <c r="B219" i="1"/>
  <c r="C219" i="1"/>
  <c r="D219" i="1"/>
  <c r="E219" i="1"/>
  <c r="F219" i="1"/>
  <c r="B220" i="1"/>
  <c r="C220" i="1"/>
  <c r="D220" i="1"/>
  <c r="E220" i="1"/>
  <c r="F220" i="1"/>
  <c r="B221" i="1"/>
  <c r="C221" i="1"/>
  <c r="D221" i="1"/>
  <c r="E221" i="1"/>
  <c r="F221" i="1"/>
  <c r="B222" i="1"/>
  <c r="C222" i="1"/>
  <c r="D222" i="1"/>
  <c r="E222" i="1"/>
  <c r="F222" i="1"/>
  <c r="B223" i="1"/>
  <c r="C223" i="1"/>
  <c r="D223" i="1"/>
  <c r="E223" i="1"/>
  <c r="F223" i="1"/>
  <c r="B224" i="1"/>
  <c r="C224" i="1"/>
  <c r="D224" i="1"/>
  <c r="E224" i="1"/>
  <c r="F224" i="1"/>
  <c r="B225" i="1"/>
  <c r="C225" i="1"/>
  <c r="D225" i="1"/>
  <c r="E225" i="1"/>
  <c r="F225" i="1"/>
  <c r="B226" i="1"/>
  <c r="C226" i="1"/>
  <c r="D226" i="1"/>
  <c r="E226" i="1"/>
  <c r="F226" i="1"/>
  <c r="B227" i="1"/>
  <c r="C227" i="1"/>
  <c r="D227" i="1"/>
  <c r="E227" i="1"/>
  <c r="F227" i="1"/>
  <c r="B228" i="1"/>
  <c r="C228" i="1"/>
  <c r="D228" i="1"/>
  <c r="E228" i="1"/>
  <c r="F228" i="1"/>
  <c r="B229" i="1"/>
  <c r="C229" i="1"/>
  <c r="D229" i="1"/>
  <c r="E229" i="1"/>
  <c r="F229" i="1"/>
  <c r="B230" i="1"/>
  <c r="C230" i="1"/>
  <c r="D230" i="1"/>
  <c r="E230" i="1"/>
  <c r="F230" i="1"/>
  <c r="B231" i="1"/>
  <c r="C231" i="1"/>
  <c r="D231" i="1"/>
  <c r="E231" i="1"/>
  <c r="F231" i="1"/>
  <c r="B232" i="1"/>
  <c r="C232" i="1"/>
  <c r="D232" i="1"/>
  <c r="E232" i="1"/>
  <c r="F232" i="1"/>
  <c r="B233" i="1"/>
  <c r="C233" i="1"/>
  <c r="D233" i="1"/>
  <c r="E233" i="1"/>
  <c r="F233" i="1"/>
  <c r="B234" i="1"/>
  <c r="C234" i="1"/>
  <c r="D234" i="1"/>
  <c r="E234" i="1"/>
  <c r="F234" i="1"/>
  <c r="B235" i="1"/>
  <c r="C235" i="1"/>
  <c r="D235" i="1"/>
  <c r="E235" i="1"/>
  <c r="F235" i="1"/>
  <c r="B236" i="1"/>
  <c r="C236" i="1"/>
  <c r="D236" i="1"/>
  <c r="E236" i="1"/>
  <c r="F236" i="1"/>
  <c r="B237" i="1"/>
  <c r="C237" i="1"/>
  <c r="D237" i="1"/>
  <c r="E237" i="1"/>
  <c r="F237" i="1"/>
  <c r="B238" i="1"/>
  <c r="C238" i="1"/>
  <c r="D238" i="1"/>
  <c r="E238" i="1"/>
  <c r="F238" i="1"/>
  <c r="B239" i="1"/>
  <c r="C239" i="1"/>
  <c r="D239" i="1"/>
  <c r="E239" i="1"/>
  <c r="F239" i="1"/>
  <c r="B240" i="1"/>
  <c r="C240" i="1"/>
  <c r="D240" i="1"/>
  <c r="E240" i="1"/>
  <c r="F240" i="1"/>
  <c r="B241" i="1"/>
  <c r="C241" i="1"/>
  <c r="D241" i="1"/>
  <c r="E241" i="1"/>
  <c r="F241" i="1"/>
  <c r="B242" i="1"/>
  <c r="C242" i="1"/>
  <c r="D242" i="1"/>
  <c r="E242" i="1"/>
  <c r="F242" i="1"/>
  <c r="B243" i="1"/>
  <c r="C243" i="1"/>
  <c r="D243" i="1"/>
  <c r="E243" i="1"/>
  <c r="F243" i="1"/>
  <c r="B244" i="1"/>
  <c r="C244" i="1"/>
  <c r="D244" i="1"/>
  <c r="E244" i="1"/>
  <c r="F244" i="1"/>
  <c r="B245" i="1"/>
  <c r="C245" i="1"/>
  <c r="D245" i="1"/>
  <c r="E245" i="1"/>
  <c r="F245" i="1"/>
  <c r="B246" i="1"/>
  <c r="C246" i="1"/>
  <c r="D246" i="1"/>
  <c r="E246" i="1"/>
  <c r="F246" i="1"/>
  <c r="B247" i="1"/>
  <c r="C247" i="1"/>
  <c r="D247" i="1"/>
  <c r="E247" i="1"/>
  <c r="F247" i="1"/>
  <c r="B248" i="1"/>
  <c r="C248" i="1"/>
  <c r="D248" i="1"/>
  <c r="E248" i="1"/>
  <c r="F248" i="1"/>
  <c r="B249" i="1"/>
  <c r="C249" i="1"/>
  <c r="D249" i="1"/>
  <c r="E249" i="1"/>
  <c r="F249" i="1"/>
  <c r="B250" i="1"/>
  <c r="C250" i="1"/>
  <c r="D250" i="1"/>
  <c r="E250" i="1"/>
  <c r="F250" i="1"/>
  <c r="B251" i="1"/>
  <c r="C251" i="1"/>
  <c r="D251" i="1"/>
  <c r="E251" i="1"/>
  <c r="F251" i="1"/>
  <c r="B252" i="1"/>
  <c r="C252" i="1"/>
  <c r="D252" i="1"/>
  <c r="E252" i="1"/>
  <c r="F252" i="1"/>
  <c r="B253" i="1"/>
  <c r="C253" i="1"/>
  <c r="D253" i="1"/>
  <c r="E253" i="1"/>
  <c r="F253" i="1"/>
  <c r="B254" i="1"/>
  <c r="C254" i="1"/>
  <c r="D254" i="1"/>
  <c r="E254" i="1"/>
  <c r="F254" i="1"/>
  <c r="B255" i="1"/>
  <c r="C255" i="1"/>
  <c r="D255" i="1"/>
  <c r="E255" i="1"/>
  <c r="F255" i="1"/>
  <c r="B256" i="1"/>
  <c r="C256" i="1"/>
  <c r="D256" i="1"/>
  <c r="E256" i="1"/>
  <c r="F256" i="1"/>
  <c r="B257" i="1"/>
  <c r="C257" i="1"/>
  <c r="D257" i="1"/>
  <c r="E257" i="1"/>
  <c r="F257" i="1"/>
  <c r="B258" i="1"/>
  <c r="C258" i="1"/>
  <c r="D258" i="1"/>
  <c r="E258" i="1"/>
  <c r="F258" i="1"/>
  <c r="B259" i="1"/>
  <c r="C259" i="1"/>
  <c r="D259" i="1"/>
  <c r="E259" i="1"/>
  <c r="F259" i="1"/>
  <c r="B260" i="1"/>
  <c r="C260" i="1"/>
  <c r="D260" i="1"/>
  <c r="E260" i="1"/>
  <c r="F260" i="1"/>
  <c r="B261" i="1"/>
  <c r="C261" i="1"/>
  <c r="D261" i="1"/>
  <c r="E261" i="1"/>
  <c r="F261" i="1"/>
  <c r="B262" i="1"/>
  <c r="C262" i="1"/>
  <c r="D262" i="1"/>
  <c r="E262" i="1"/>
  <c r="F262" i="1"/>
  <c r="B263" i="1"/>
  <c r="C263" i="1"/>
  <c r="D263" i="1"/>
  <c r="E263" i="1"/>
  <c r="F263" i="1"/>
  <c r="B264" i="1"/>
  <c r="C264" i="1"/>
  <c r="D264" i="1"/>
  <c r="E264" i="1"/>
  <c r="F264" i="1"/>
  <c r="B265" i="1"/>
  <c r="C265" i="1"/>
  <c r="D265" i="1"/>
  <c r="E265" i="1"/>
  <c r="F265" i="1"/>
  <c r="B266" i="1"/>
  <c r="C266" i="1"/>
  <c r="D266" i="1"/>
  <c r="E266" i="1"/>
  <c r="F266" i="1"/>
  <c r="B267" i="1"/>
  <c r="C267" i="1"/>
  <c r="D267" i="1"/>
  <c r="E267" i="1"/>
  <c r="F267" i="1"/>
  <c r="B268" i="1"/>
  <c r="C268" i="1"/>
  <c r="D268" i="1"/>
  <c r="E268" i="1"/>
  <c r="F268" i="1"/>
  <c r="B269" i="1"/>
  <c r="C269" i="1"/>
  <c r="D269" i="1"/>
  <c r="E269" i="1"/>
  <c r="F269" i="1"/>
  <c r="B270" i="1"/>
  <c r="C270" i="1"/>
  <c r="D270" i="1"/>
  <c r="E270" i="1"/>
  <c r="F270" i="1"/>
  <c r="B271" i="1"/>
  <c r="C271" i="1"/>
  <c r="D271" i="1"/>
  <c r="E271" i="1"/>
  <c r="F271" i="1"/>
  <c r="B272" i="1"/>
  <c r="C272" i="1"/>
  <c r="D272" i="1"/>
  <c r="E272" i="1"/>
  <c r="F272" i="1"/>
  <c r="B273" i="1"/>
  <c r="C273" i="1"/>
  <c r="D273" i="1"/>
  <c r="E273" i="1"/>
  <c r="F273" i="1"/>
  <c r="B274" i="1"/>
  <c r="C274" i="1"/>
  <c r="D274" i="1"/>
  <c r="E274" i="1"/>
  <c r="F274" i="1"/>
  <c r="B275" i="1"/>
  <c r="C275" i="1"/>
  <c r="D275" i="1"/>
  <c r="E275" i="1"/>
  <c r="F275" i="1"/>
  <c r="B276" i="1"/>
  <c r="C276" i="1"/>
  <c r="D276" i="1"/>
  <c r="E276" i="1"/>
  <c r="F276" i="1"/>
  <c r="B277" i="1"/>
  <c r="C277" i="1"/>
  <c r="D277" i="1"/>
  <c r="E277" i="1"/>
  <c r="F277" i="1"/>
  <c r="B278" i="1"/>
  <c r="C278" i="1"/>
  <c r="D278" i="1"/>
  <c r="E278" i="1"/>
  <c r="F278" i="1"/>
  <c r="B279" i="1"/>
  <c r="C279" i="1"/>
  <c r="D279" i="1"/>
  <c r="E279" i="1"/>
  <c r="F279" i="1"/>
  <c r="B280" i="1"/>
  <c r="C280" i="1"/>
  <c r="D280" i="1"/>
  <c r="E280" i="1"/>
  <c r="F280" i="1"/>
  <c r="B281" i="1"/>
  <c r="C281" i="1"/>
  <c r="D281" i="1"/>
  <c r="E281" i="1"/>
  <c r="F281" i="1"/>
  <c r="B282" i="1"/>
  <c r="C282" i="1"/>
  <c r="D282" i="1"/>
  <c r="E282" i="1"/>
  <c r="F282" i="1"/>
  <c r="B283" i="1"/>
  <c r="C283" i="1"/>
  <c r="D283" i="1"/>
  <c r="E283" i="1"/>
  <c r="F283" i="1"/>
  <c r="B284" i="1"/>
  <c r="C284" i="1"/>
  <c r="D284" i="1"/>
  <c r="E284" i="1"/>
  <c r="F284" i="1"/>
  <c r="B285" i="1"/>
  <c r="C285" i="1"/>
  <c r="D285" i="1"/>
  <c r="E285" i="1"/>
  <c r="F285" i="1"/>
  <c r="B286" i="1"/>
  <c r="C286" i="1"/>
  <c r="D286" i="1"/>
  <c r="E286" i="1"/>
  <c r="F286" i="1"/>
  <c r="B287" i="1"/>
  <c r="C287" i="1"/>
  <c r="D287" i="1"/>
  <c r="E287" i="1"/>
  <c r="F287" i="1"/>
  <c r="B288" i="1"/>
  <c r="C288" i="1"/>
  <c r="D288" i="1"/>
  <c r="E288" i="1"/>
  <c r="F288" i="1"/>
  <c r="B289" i="1"/>
  <c r="C289" i="1"/>
  <c r="D289" i="1"/>
  <c r="E289" i="1"/>
  <c r="F289" i="1"/>
  <c r="B290" i="1"/>
  <c r="C290" i="1"/>
  <c r="D290" i="1"/>
  <c r="E290" i="1"/>
  <c r="F290" i="1"/>
  <c r="B291" i="1"/>
  <c r="C291" i="1"/>
  <c r="D291" i="1"/>
  <c r="E291" i="1"/>
  <c r="F291" i="1"/>
  <c r="B292" i="1"/>
  <c r="C292" i="1"/>
  <c r="D292" i="1"/>
  <c r="E292" i="1"/>
  <c r="F292" i="1"/>
  <c r="B293" i="1"/>
  <c r="C293" i="1"/>
  <c r="D293" i="1"/>
  <c r="E293" i="1"/>
  <c r="F293" i="1"/>
  <c r="B294" i="1"/>
  <c r="C294" i="1"/>
  <c r="D294" i="1"/>
  <c r="E294" i="1"/>
  <c r="F294" i="1"/>
  <c r="B295" i="1"/>
  <c r="C295" i="1"/>
  <c r="D295" i="1"/>
  <c r="E295" i="1"/>
  <c r="F295" i="1"/>
  <c r="B296" i="1"/>
  <c r="C296" i="1"/>
  <c r="D296" i="1"/>
  <c r="E296" i="1"/>
  <c r="F296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B142" i="1"/>
  <c r="C142" i="1"/>
  <c r="D142" i="1"/>
  <c r="E142" i="1"/>
  <c r="F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M12" i="1"/>
  <c r="O12" i="1" s="1"/>
  <c r="H12" i="1"/>
  <c r="M80" i="1"/>
  <c r="O80" i="1" s="1"/>
  <c r="K81" i="1"/>
  <c r="I81" i="1"/>
  <c r="Q141" i="1"/>
  <c r="P141" i="1"/>
  <c r="M141" i="1"/>
  <c r="H141" i="1"/>
  <c r="I140" i="1"/>
  <c r="M140" i="1" s="1"/>
  <c r="M22" i="1"/>
  <c r="O22" i="1" s="1"/>
  <c r="I21" i="1"/>
  <c r="M21" i="1" s="1"/>
  <c r="O21" i="1" s="1"/>
  <c r="H3" i="1"/>
  <c r="H6" i="1"/>
  <c r="H8" i="1"/>
  <c r="H10" i="1"/>
  <c r="H11" i="1"/>
  <c r="H13" i="1"/>
  <c r="H14" i="1"/>
  <c r="H16" i="1"/>
  <c r="H17" i="1"/>
  <c r="H18" i="1"/>
  <c r="H20" i="1"/>
  <c r="H22" i="1"/>
  <c r="H23" i="1"/>
  <c r="H25" i="1"/>
  <c r="H26" i="1"/>
  <c r="H27" i="1"/>
  <c r="H28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5" i="1"/>
  <c r="H47" i="1"/>
  <c r="H48" i="1"/>
  <c r="H49" i="1"/>
  <c r="H50" i="1"/>
  <c r="H51" i="1"/>
  <c r="H52" i="1"/>
  <c r="H55" i="1"/>
  <c r="H57" i="1"/>
  <c r="H58" i="1"/>
  <c r="H60" i="1"/>
  <c r="H62" i="1"/>
  <c r="H63" i="1"/>
  <c r="H64" i="1"/>
  <c r="H65" i="1"/>
  <c r="H66" i="1"/>
  <c r="H67" i="1"/>
  <c r="H69" i="1"/>
  <c r="H70" i="1"/>
  <c r="H73" i="1"/>
  <c r="H77" i="1"/>
  <c r="H78" i="1"/>
  <c r="H79" i="1"/>
  <c r="H80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2" i="1"/>
  <c r="P52" i="1"/>
  <c r="M52" i="1"/>
  <c r="P51" i="1"/>
  <c r="M51" i="1"/>
  <c r="P50" i="1"/>
  <c r="M50" i="1"/>
  <c r="P49" i="1"/>
  <c r="M49" i="1"/>
  <c r="P48" i="1"/>
  <c r="M48" i="1"/>
  <c r="P47" i="1"/>
  <c r="M47" i="1"/>
  <c r="P46" i="1"/>
  <c r="M46" i="1"/>
  <c r="P45" i="1"/>
  <c r="M45" i="1"/>
  <c r="P44" i="1"/>
  <c r="M44" i="1"/>
  <c r="P43" i="1"/>
  <c r="M43" i="1"/>
  <c r="P42" i="1"/>
  <c r="M42" i="1"/>
  <c r="P41" i="1"/>
  <c r="M41" i="1"/>
  <c r="P40" i="1"/>
  <c r="M40" i="1"/>
  <c r="P39" i="1"/>
  <c r="M39" i="1"/>
  <c r="P38" i="1"/>
  <c r="M38" i="1"/>
  <c r="P37" i="1"/>
  <c r="M37" i="1"/>
  <c r="P36" i="1"/>
  <c r="M36" i="1"/>
  <c r="P35" i="1"/>
  <c r="M35" i="1"/>
  <c r="P34" i="1"/>
  <c r="M34" i="1"/>
  <c r="P33" i="1"/>
  <c r="M33" i="1"/>
  <c r="P32" i="1"/>
  <c r="M32" i="1"/>
  <c r="P31" i="1"/>
  <c r="M31" i="1"/>
  <c r="P30" i="1"/>
  <c r="M30" i="1"/>
  <c r="P29" i="1"/>
  <c r="M29" i="1"/>
  <c r="P28" i="1"/>
  <c r="M28" i="1"/>
  <c r="P27" i="1"/>
  <c r="M27" i="1"/>
  <c r="M20" i="1"/>
  <c r="O20" i="1" s="1"/>
  <c r="Q16" i="1"/>
  <c r="P16" i="1"/>
  <c r="M16" i="1"/>
  <c r="Q15" i="1"/>
  <c r="P15" i="1"/>
  <c r="M15" i="1"/>
  <c r="Q14" i="1"/>
  <c r="P14" i="1"/>
  <c r="M14" i="1"/>
  <c r="M13" i="1"/>
  <c r="O13" i="1" s="1"/>
  <c r="Q11" i="1"/>
  <c r="P11" i="1"/>
  <c r="M11" i="1"/>
  <c r="Q10" i="1"/>
  <c r="P10" i="1"/>
  <c r="M10" i="1"/>
  <c r="Q9" i="1"/>
  <c r="P9" i="1"/>
  <c r="M9" i="1"/>
  <c r="Q8" i="1"/>
  <c r="P8" i="1"/>
  <c r="J8" i="1"/>
  <c r="M8" i="1" s="1"/>
  <c r="Q7" i="1"/>
  <c r="P7" i="1"/>
  <c r="M7" i="1"/>
  <c r="Q6" i="1"/>
  <c r="P6" i="1"/>
  <c r="M6" i="1"/>
  <c r="P5" i="1"/>
  <c r="J5" i="1"/>
  <c r="M5" i="1" s="1"/>
  <c r="P4" i="1"/>
  <c r="M4" i="1"/>
  <c r="P3" i="1"/>
  <c r="M3" i="1"/>
  <c r="M2" i="1"/>
  <c r="P2" i="1"/>
  <c r="N13" i="1" l="1"/>
  <c r="N12" i="1"/>
  <c r="M81" i="1"/>
  <c r="O81" i="1" s="1"/>
  <c r="N80" i="1"/>
  <c r="P80" i="1" s="1"/>
  <c r="R80" i="1" s="1"/>
  <c r="R141" i="1"/>
  <c r="N20" i="1"/>
  <c r="O140" i="1"/>
  <c r="N140" i="1"/>
  <c r="N22" i="1"/>
  <c r="N21" i="1"/>
  <c r="R46" i="1"/>
  <c r="R8" i="1"/>
  <c r="R51" i="1"/>
  <c r="R2" i="1"/>
  <c r="R9" i="1"/>
  <c r="R47" i="1"/>
  <c r="R52" i="1"/>
  <c r="R11" i="1"/>
  <c r="R48" i="1"/>
  <c r="R49" i="1"/>
  <c r="R50" i="1"/>
  <c r="R39" i="1"/>
  <c r="R36" i="1"/>
  <c r="R38" i="1"/>
  <c r="R41" i="1"/>
  <c r="R45" i="1"/>
  <c r="R34" i="1"/>
  <c r="R44" i="1"/>
  <c r="R29" i="1"/>
  <c r="R30" i="1"/>
  <c r="R10" i="1"/>
  <c r="R37" i="1"/>
  <c r="R3" i="1"/>
  <c r="R6" i="1"/>
  <c r="R40" i="1"/>
  <c r="R31" i="1"/>
  <c r="R7" i="1"/>
  <c r="R15" i="1"/>
  <c r="R32" i="1"/>
  <c r="R42" i="1"/>
  <c r="R16" i="1"/>
  <c r="R43" i="1"/>
  <c r="R35" i="1"/>
  <c r="R27" i="1"/>
  <c r="R28" i="1"/>
  <c r="R14" i="1"/>
  <c r="R33" i="1"/>
  <c r="R5" i="1"/>
  <c r="R4" i="1"/>
  <c r="Q12" i="1" l="1"/>
  <c r="P12" i="1"/>
  <c r="R12" i="1" s="1"/>
  <c r="P13" i="1"/>
  <c r="R13" i="1" s="1"/>
  <c r="Q13" i="1"/>
  <c r="N81" i="1"/>
  <c r="P81" i="1" s="1"/>
  <c r="R81" i="1" s="1"/>
  <c r="P20" i="1"/>
  <c r="R20" i="1" s="1"/>
  <c r="Q20" i="1"/>
  <c r="Q140" i="1"/>
  <c r="P140" i="1"/>
  <c r="R140" i="1" s="1"/>
  <c r="Q22" i="1"/>
  <c r="P22" i="1"/>
  <c r="R22" i="1" s="1"/>
  <c r="Q21" i="1"/>
  <c r="P21" i="1"/>
  <c r="R21" i="1" s="1"/>
</calcChain>
</file>

<file path=xl/sharedStrings.xml><?xml version="1.0" encoding="utf-8"?>
<sst xmlns="http://schemas.openxmlformats.org/spreadsheetml/2006/main" count="732" uniqueCount="122">
  <si>
    <t>NO TAX</t>
  </si>
  <si>
    <t>GST portion for repairs</t>
  </si>
  <si>
    <t>Vehicle</t>
  </si>
  <si>
    <t>total</t>
  </si>
  <si>
    <t>tax type</t>
  </si>
  <si>
    <t>Total Tax</t>
  </si>
  <si>
    <t>PST</t>
  </si>
  <si>
    <t>GST</t>
  </si>
  <si>
    <t>Net for SAP</t>
  </si>
  <si>
    <t>Less Insurance</t>
  </si>
  <si>
    <t>Parts</t>
  </si>
  <si>
    <t>Misc</t>
  </si>
  <si>
    <t>Labor</t>
  </si>
  <si>
    <t>Work description</t>
  </si>
  <si>
    <t>Invoice #</t>
  </si>
  <si>
    <t>Dealer Code</t>
  </si>
  <si>
    <t>Dealer Name</t>
  </si>
  <si>
    <t>Date of submission</t>
  </si>
  <si>
    <t>Wheel cover replacement</t>
  </si>
  <si>
    <t>GST + PST</t>
  </si>
  <si>
    <t>Brakes repair</t>
  </si>
  <si>
    <t>Body shop</t>
  </si>
  <si>
    <t>No TAX</t>
  </si>
  <si>
    <t>SAP#</t>
  </si>
  <si>
    <t>Rim repair &amp; alignment</t>
  </si>
  <si>
    <t>Window Bezel Replacement </t>
  </si>
  <si>
    <t>Hydrogen refuel</t>
  </si>
  <si>
    <t>Mirai</t>
  </si>
  <si>
    <t>Windshield replacement</t>
  </si>
  <si>
    <t> 3600270769</t>
  </si>
  <si>
    <t>deductible portion plus GST</t>
  </si>
  <si>
    <t>Hubcap replacement</t>
  </si>
  <si>
    <t>Extra cleaning &amp; recharge</t>
  </si>
  <si>
    <t>Tire replacement</t>
  </si>
  <si>
    <t>Cable replacement &amp; Recharge</t>
  </si>
  <si>
    <t>CVI</t>
  </si>
  <si>
    <t>Recharge</t>
  </si>
  <si>
    <t>Wiper replacement</t>
  </si>
  <si>
    <t>CVI &amp; Rotors service</t>
  </si>
  <si>
    <t>Parts RO</t>
  </si>
  <si>
    <t>Mirai Fuel</t>
  </si>
  <si>
    <t>08438</t>
  </si>
  <si>
    <t>Service &amp; Tire replacement</t>
  </si>
  <si>
    <t>Windshield Replacement</t>
  </si>
  <si>
    <t>Repair GST payable</t>
  </si>
  <si>
    <t>GST only</t>
  </si>
  <si>
    <t>Tire replacement (flat tire)</t>
  </si>
  <si>
    <t>Towing</t>
  </si>
  <si>
    <t>5VIN</t>
  </si>
  <si>
    <t>bZ repair</t>
  </si>
  <si>
    <t>bZ</t>
  </si>
  <si>
    <t>GST DEDUCTIBLE</t>
  </si>
  <si>
    <t>No Tax</t>
  </si>
  <si>
    <t>Mirai repair (damaged by influencer)</t>
  </si>
  <si>
    <t>bZ Repair (windshield)</t>
  </si>
  <si>
    <t>Credit for #378746</t>
  </si>
  <si>
    <t> </t>
  </si>
  <si>
    <t>Condition (Brake)</t>
  </si>
  <si>
    <t>4 tires swap</t>
  </si>
  <si>
    <t>towing &amp; recharge</t>
  </si>
  <si>
    <t>Rear end colision</t>
  </si>
  <si>
    <t>NA</t>
  </si>
  <si>
    <t>service and recharge</t>
  </si>
  <si>
    <t>no tax</t>
  </si>
  <si>
    <t>Body shop Repairs</t>
  </si>
  <si>
    <t>kinto recharge</t>
  </si>
  <si>
    <t>kinto refueling</t>
  </si>
  <si>
    <t>OTA Key Install</t>
  </si>
  <si>
    <t>GST recoverable</t>
  </si>
  <si>
    <t>HW removal</t>
  </si>
  <si>
    <t>Service</t>
  </si>
  <si>
    <t>tire puncture</t>
  </si>
  <si>
    <t>Kelowna</t>
  </si>
  <si>
    <t>Mirai tire</t>
  </si>
  <si>
    <t xml:space="preserve">Mirai Shipping </t>
  </si>
  <si>
    <t>Battery Replacement</t>
  </si>
  <si>
    <t xml:space="preserve">Mirai </t>
  </si>
  <si>
    <t>Battery replacement</t>
  </si>
  <si>
    <t>Mirai refuel fee</t>
  </si>
  <si>
    <t>Tire Replacement</t>
  </si>
  <si>
    <t>Insurance claim/ GST only</t>
  </si>
  <si>
    <t>Insurance claim</t>
  </si>
  <si>
    <t>battery replacement + Hw removal</t>
  </si>
  <si>
    <t>2 new tires + balance</t>
  </si>
  <si>
    <t>HW install</t>
  </si>
  <si>
    <t>Inspection</t>
  </si>
  <si>
    <t>Difference on purchase price</t>
  </si>
  <si>
    <t>wheel hub</t>
  </si>
  <si>
    <t>hw unisntall</t>
  </si>
  <si>
    <t>smashed window</t>
  </si>
  <si>
    <t>GST Only</t>
  </si>
  <si>
    <t>Hub Cap missing</t>
  </si>
  <si>
    <t>Cleaning</t>
  </si>
  <si>
    <t>OTA Key removal</t>
  </si>
  <si>
    <t>Destination Toyota Burnaby</t>
  </si>
  <si>
    <t>Jim Pattison Toyota Surrey</t>
  </si>
  <si>
    <t>OpenRoad Toyota Richmond</t>
  </si>
  <si>
    <t>Westminster Toyota</t>
  </si>
  <si>
    <t>Financial / Admin</t>
  </si>
  <si>
    <t>Tires &amp; Wheels</t>
  </si>
  <si>
    <t>Maintenance &amp; Repair</t>
  </si>
  <si>
    <t>Window Bezel Replacement</t>
  </si>
  <si>
    <t>Fuel &amp; Recharge</t>
  </si>
  <si>
    <t>Inspection (CVI)</t>
  </si>
  <si>
    <t>Hardware &amp; OTA</t>
  </si>
  <si>
    <t>Mirai Shipping</t>
  </si>
  <si>
    <t>hw uninstall / unisntall</t>
  </si>
  <si>
    <t>Work Category</t>
  </si>
  <si>
    <t>45528</t>
  </si>
  <si>
    <t>46096</t>
  </si>
  <si>
    <t>08371</t>
  </si>
  <si>
    <t>11789</t>
  </si>
  <si>
    <t>50006</t>
  </si>
  <si>
    <t>44929</t>
  </si>
  <si>
    <t>Rotors service</t>
  </si>
  <si>
    <t>94917</t>
  </si>
  <si>
    <t>Cable replacement</t>
  </si>
  <si>
    <t>battery replacement</t>
  </si>
  <si>
    <t>Hw removal</t>
  </si>
  <si>
    <t>Bronze cleaning</t>
  </si>
  <si>
    <t>bZ repair (front colision)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</si>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</sst>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2363A"/>
      <name val="Aptos Narrow"/>
      <family val="2"/>
      <scheme val="minor"/>
    </font>
    <font>
      <sz val="11"/>
      <color rgb="FF232629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44" fontId="0" fillId="0" borderId="0" xfId="1" applyFont="1" applyBorder="1" applyAlignment="1"/>
    <xf numFmtId="44" fontId="0" fillId="4" borderId="0" xfId="1" applyFont="1" applyFill="1" applyBorder="1" applyAlignment="1"/>
    <xf numFmtId="44" fontId="0" fillId="0" borderId="0" xfId="1" applyFont="1" applyBorder="1"/>
    <xf numFmtId="44" fontId="0" fillId="3" borderId="0" xfId="1" applyFont="1" applyFill="1" applyBorder="1"/>
    <xf numFmtId="1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left" vertical="center"/>
    </xf>
    <xf numFmtId="14" fontId="3" fillId="0" borderId="0" xfId="0" applyNumberFormat="1" applyFont="1"/>
    <xf numFmtId="8" fontId="3" fillId="0" borderId="0" xfId="0" applyNumberFormat="1" applyFont="1"/>
    <xf numFmtId="8" fontId="3" fillId="2" borderId="0" xfId="0" applyNumberFormat="1" applyFont="1" applyFill="1"/>
    <xf numFmtId="49" fontId="3" fillId="0" borderId="0" xfId="0" applyNumberFormat="1" applyFont="1"/>
    <xf numFmtId="44" fontId="0" fillId="3" borderId="0" xfId="1" applyFont="1" applyFill="1" applyBorder="1" applyAlignment="1"/>
    <xf numFmtId="44" fontId="3" fillId="0" borderId="0" xfId="1" applyFont="1" applyBorder="1"/>
    <xf numFmtId="44" fontId="3" fillId="0" borderId="0" xfId="1" applyFont="1" applyBorder="1" applyAlignment="1">
      <alignment horizontal="right"/>
    </xf>
    <xf numFmtId="44" fontId="3" fillId="2" borderId="0" xfId="1" applyFont="1" applyFill="1" applyBorder="1"/>
    <xf numFmtId="0" fontId="6" fillId="0" borderId="0" xfId="0" applyFont="1"/>
    <xf numFmtId="49" fontId="6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49" fontId="5" fillId="0" borderId="0" xfId="0" applyNumberFormat="1" applyFont="1"/>
    <xf numFmtId="44" fontId="6" fillId="0" borderId="0" xfId="1" applyFont="1" applyBorder="1"/>
    <xf numFmtId="44" fontId="6" fillId="2" borderId="0" xfId="1" applyFont="1" applyFill="1" applyBorder="1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14" fontId="2" fillId="0" borderId="0" xfId="0" applyNumberFormat="1" applyFont="1"/>
  </cellXfs>
  <cellStyles count="2">
    <cellStyle name="Currency" xfId="1" builtinId="4"/>
    <cellStyle name="Normal" xfId="0" builtinId="0"/>
  </cellStyles>
  <dxfs count="9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teams.toyota.com/sites/ABD-Mobility/Shared%20Documents/General/0.1%20KTNG/8.%20F&amp;A/Credit%20Memo/Credit%20Memo%20for%20KINTO.xlsx" TargetMode="External"/><Relationship Id="rId1" Type="http://schemas.openxmlformats.org/officeDocument/2006/relationships/externalLinkPath" Target="https://myteams.toyota.com/sites/ABD-Mobility/Shared%20Documents/General/0.1%20KTNG/8.%20F&amp;A/Credit%20Memo/Credit%20Memo%20for%20KI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rai Repairs"/>
      <sheetName val="071824"/>
      <sheetName val="072224"/>
      <sheetName val="August"/>
      <sheetName val="Oct OpenRoad"/>
      <sheetName val="November"/>
      <sheetName val="December"/>
      <sheetName val="Jan-25"/>
      <sheetName val="March Reconciliation"/>
      <sheetName val="Feb-25"/>
      <sheetName val="Mar-25"/>
      <sheetName val="Apr-25"/>
      <sheetName val="May - 25"/>
      <sheetName val="June -25"/>
      <sheetName val="July - 25"/>
      <sheetName val="Aug - 25"/>
      <sheetName val="Oct - 25"/>
      <sheetName val="Dec - 25"/>
      <sheetName val="Jan - 26"/>
      <sheetName val="Feb - 26"/>
      <sheetName val="Mar - 26"/>
      <sheetName val="Apr - 26"/>
      <sheetName val="Consolidation"/>
      <sheetName val="Master Invo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42">
          <cell r="A142">
            <v>46113</v>
          </cell>
          <cell r="B142" t="str">
            <v>Destination Toyota Burnaby</v>
          </cell>
          <cell r="C142">
            <v>1122</v>
          </cell>
          <cell r="D142" t="str">
            <v>3600272601</v>
          </cell>
          <cell r="E142">
            <v>705462</v>
          </cell>
          <cell r="F142" t="str">
            <v>Tire Replacement</v>
          </cell>
          <cell r="H142" t="str">
            <v>Tires &amp; Wheels</v>
          </cell>
          <cell r="I142">
            <v>35</v>
          </cell>
          <cell r="J142">
            <v>51.5</v>
          </cell>
          <cell r="K142">
            <v>413.09</v>
          </cell>
          <cell r="L142">
            <v>0</v>
          </cell>
          <cell r="M142">
            <v>499.59</v>
          </cell>
          <cell r="N142">
            <v>22.68</v>
          </cell>
          <cell r="O142">
            <v>31.75</v>
          </cell>
          <cell r="P142">
            <v>54.43</v>
          </cell>
          <cell r="Q142" t="str">
            <v>GST + PST</v>
          </cell>
          <cell r="R142">
            <v>554.02</v>
          </cell>
          <cell r="S142" t="str">
            <v>bZ4X</v>
          </cell>
          <cell r="T142">
            <v>50253</v>
          </cell>
        </row>
        <row r="143">
          <cell r="A143">
            <v>46113</v>
          </cell>
          <cell r="B143" t="str">
            <v>Destination Toyota Burnaby</v>
          </cell>
          <cell r="C143">
            <v>1122</v>
          </cell>
          <cell r="D143" t="str">
            <v>3600272601</v>
          </cell>
          <cell r="E143">
            <v>705462</v>
          </cell>
          <cell r="F143" t="str">
            <v>Recharge</v>
          </cell>
          <cell r="H143" t="str">
            <v>Fuel &amp; Recharge</v>
          </cell>
          <cell r="I143">
            <v>0</v>
          </cell>
          <cell r="J143">
            <v>45</v>
          </cell>
          <cell r="K143">
            <v>0</v>
          </cell>
          <cell r="L143">
            <v>0</v>
          </cell>
          <cell r="M143">
            <v>45</v>
          </cell>
          <cell r="N143">
            <v>0</v>
          </cell>
          <cell r="O143">
            <v>0</v>
          </cell>
          <cell r="P143">
            <v>0</v>
          </cell>
          <cell r="Q143" t="str">
            <v>NO TAX</v>
          </cell>
          <cell r="R143">
            <v>45</v>
          </cell>
          <cell r="S143" t="str">
            <v>bZ4X</v>
          </cell>
          <cell r="T143">
            <v>50253</v>
          </cell>
        </row>
      </sheetData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678F-3AC2-4FBF-B196-9B8949CC899A}">
  <dimension ref="A1:Z296"/>
  <sheetViews>
    <sheetView tabSelected="1" topLeftCell="A114" zoomScale="85" zoomScaleNormal="85" workbookViewId="0">
      <selection activeCell="B147" sqref="B147"/>
    </sheetView>
  </sheetViews>
  <sheetFormatPr defaultColWidth="12.6640625" defaultRowHeight="19.2" customHeight="1" x14ac:dyDescent="0.3"/>
  <cols>
    <col min="1" max="1" width="12.6640625" style="5"/>
    <col min="2" max="2" width="25.21875" customWidth="1"/>
    <col min="3" max="5" width="12.6640625" style="19"/>
    <col min="6" max="6" width="29.88671875" customWidth="1"/>
    <col min="8" max="8" width="24.88671875" customWidth="1"/>
    <col min="9" max="16" width="12.6640625" style="3"/>
    <col min="18" max="18" width="12.6640625" style="3"/>
    <col min="20" max="20" width="12.6640625" style="19"/>
  </cols>
  <sheetData>
    <row r="1" spans="1:26" ht="19.2" customHeight="1" x14ac:dyDescent="0.3">
      <c r="A1" s="27" t="s">
        <v>17</v>
      </c>
      <c r="B1" s="17" t="s">
        <v>16</v>
      </c>
      <c r="C1" s="18" t="s">
        <v>15</v>
      </c>
      <c r="D1" s="18" t="s">
        <v>23</v>
      </c>
      <c r="E1" s="18" t="s">
        <v>14</v>
      </c>
      <c r="F1" s="17" t="s">
        <v>13</v>
      </c>
      <c r="G1" s="17"/>
      <c r="H1" s="17" t="s">
        <v>107</v>
      </c>
      <c r="I1" s="22" t="s">
        <v>12</v>
      </c>
      <c r="J1" s="22" t="s">
        <v>11</v>
      </c>
      <c r="K1" s="22" t="s">
        <v>10</v>
      </c>
      <c r="L1" s="22" t="s">
        <v>9</v>
      </c>
      <c r="M1" s="23" t="s">
        <v>8</v>
      </c>
      <c r="N1" s="22" t="s">
        <v>7</v>
      </c>
      <c r="O1" s="22" t="s">
        <v>6</v>
      </c>
      <c r="P1" s="22" t="s">
        <v>5</v>
      </c>
      <c r="Q1" s="17" t="s">
        <v>4</v>
      </c>
      <c r="R1" s="22" t="s">
        <v>3</v>
      </c>
      <c r="S1" s="17" t="s">
        <v>2</v>
      </c>
      <c r="T1" s="18" t="s">
        <v>48</v>
      </c>
      <c r="Z1" s="8"/>
    </row>
    <row r="2" spans="1:26" ht="19.2" customHeight="1" x14ac:dyDescent="0.3">
      <c r="A2" s="9">
        <v>46084</v>
      </c>
      <c r="B2" t="s">
        <v>97</v>
      </c>
      <c r="C2" s="19">
        <v>1117</v>
      </c>
      <c r="D2" s="20">
        <v>3600270655</v>
      </c>
      <c r="E2" s="12">
        <v>10941</v>
      </c>
      <c r="F2" s="7" t="s">
        <v>1</v>
      </c>
      <c r="G2" s="7"/>
      <c r="H2" s="7" t="str">
        <f>+VLOOKUP(F2,Categories!A:B,2,)</f>
        <v>Financial / Admin</v>
      </c>
      <c r="I2" s="14">
        <v>1915.95</v>
      </c>
      <c r="J2" s="14">
        <v>0</v>
      </c>
      <c r="K2" s="14">
        <v>0</v>
      </c>
      <c r="L2" s="14">
        <v>0</v>
      </c>
      <c r="M2" s="16">
        <f t="shared" ref="M2:M16" si="0">+I2+J2+K2-L2</f>
        <v>1915.95</v>
      </c>
      <c r="N2" s="14">
        <v>0</v>
      </c>
      <c r="O2" s="14">
        <v>0</v>
      </c>
      <c r="P2" s="14">
        <f t="shared" ref="P2:P16" si="1">+N2+O2</f>
        <v>0</v>
      </c>
      <c r="Q2" s="7" t="s">
        <v>0</v>
      </c>
      <c r="R2" s="14">
        <f t="shared" ref="R2:R16" si="2">+ROUND(P2+M2,2)</f>
        <v>1915.95</v>
      </c>
      <c r="S2" s="7" t="s">
        <v>50</v>
      </c>
      <c r="T2" s="12">
        <v>27683</v>
      </c>
      <c r="Z2" s="8"/>
    </row>
    <row r="3" spans="1:26" ht="19.2" customHeight="1" x14ac:dyDescent="0.3">
      <c r="A3" s="9">
        <v>46084</v>
      </c>
      <c r="B3" s="7" t="s">
        <v>96</v>
      </c>
      <c r="C3" s="19">
        <v>1078</v>
      </c>
      <c r="D3" s="20">
        <v>3600270100</v>
      </c>
      <c r="E3" s="12">
        <v>361743</v>
      </c>
      <c r="F3" s="7" t="s">
        <v>18</v>
      </c>
      <c r="G3" s="7"/>
      <c r="H3" s="7" t="str">
        <f>+VLOOKUP(F3,Categories!A:B,2,)</f>
        <v>Tires &amp; Wheels</v>
      </c>
      <c r="I3" s="14">
        <v>0</v>
      </c>
      <c r="J3" s="14">
        <v>0</v>
      </c>
      <c r="K3" s="14">
        <v>116.62</v>
      </c>
      <c r="L3" s="14">
        <v>0</v>
      </c>
      <c r="M3" s="16">
        <f t="shared" si="0"/>
        <v>116.62</v>
      </c>
      <c r="N3" s="14">
        <v>5.83</v>
      </c>
      <c r="O3" s="14">
        <v>8.16</v>
      </c>
      <c r="P3" s="14">
        <f t="shared" si="1"/>
        <v>13.99</v>
      </c>
      <c r="Q3" s="7" t="s">
        <v>19</v>
      </c>
      <c r="R3" s="14">
        <f t="shared" si="2"/>
        <v>130.61000000000001</v>
      </c>
      <c r="S3" s="7" t="s">
        <v>50</v>
      </c>
      <c r="T3" s="12">
        <v>44818</v>
      </c>
      <c r="Z3" s="8"/>
    </row>
    <row r="4" spans="1:26" ht="19.2" customHeight="1" x14ac:dyDescent="0.3">
      <c r="A4" s="9">
        <v>46085</v>
      </c>
      <c r="B4" s="7" t="s">
        <v>94</v>
      </c>
      <c r="C4" s="19">
        <v>1122</v>
      </c>
      <c r="D4" s="20">
        <v>3600270660</v>
      </c>
      <c r="E4" s="12">
        <v>694999</v>
      </c>
      <c r="F4" s="7" t="s">
        <v>20</v>
      </c>
      <c r="G4" s="7"/>
      <c r="H4" s="7" t="s">
        <v>121</v>
      </c>
      <c r="I4" s="14">
        <v>694.95</v>
      </c>
      <c r="J4" s="14">
        <v>0</v>
      </c>
      <c r="K4" s="14">
        <v>0</v>
      </c>
      <c r="L4" s="14">
        <v>0</v>
      </c>
      <c r="M4" s="16">
        <f t="shared" si="0"/>
        <v>694.95</v>
      </c>
      <c r="N4" s="14">
        <v>34.75</v>
      </c>
      <c r="O4" s="14">
        <v>48.65</v>
      </c>
      <c r="P4" s="14">
        <f t="shared" si="1"/>
        <v>83.4</v>
      </c>
      <c r="Q4" s="7" t="s">
        <v>19</v>
      </c>
      <c r="R4" s="14">
        <f t="shared" si="2"/>
        <v>778.35</v>
      </c>
      <c r="S4" s="7" t="s">
        <v>50</v>
      </c>
      <c r="T4" s="12">
        <v>50148</v>
      </c>
      <c r="Z4" s="8"/>
    </row>
    <row r="5" spans="1:26" ht="19.2" customHeight="1" x14ac:dyDescent="0.3">
      <c r="A5" s="9">
        <v>46085</v>
      </c>
      <c r="B5" s="7" t="s">
        <v>94</v>
      </c>
      <c r="C5" s="19">
        <v>1122</v>
      </c>
      <c r="D5" s="20">
        <v>3600270660</v>
      </c>
      <c r="E5" s="12">
        <v>378998</v>
      </c>
      <c r="F5" s="7" t="s">
        <v>21</v>
      </c>
      <c r="G5" s="7"/>
      <c r="H5" s="7" t="s">
        <v>121</v>
      </c>
      <c r="I5" s="14">
        <v>554.65</v>
      </c>
      <c r="J5" s="14">
        <f>194+112.69</f>
        <v>306.69</v>
      </c>
      <c r="K5" s="14">
        <v>1631.4</v>
      </c>
      <c r="L5" s="14">
        <v>0</v>
      </c>
      <c r="M5" s="16">
        <f t="shared" si="0"/>
        <v>2492.7399999999998</v>
      </c>
      <c r="N5" s="14">
        <v>124.64</v>
      </c>
      <c r="O5" s="14">
        <v>174.49</v>
      </c>
      <c r="P5" s="14">
        <f t="shared" si="1"/>
        <v>299.13</v>
      </c>
      <c r="Q5" s="7" t="s">
        <v>22</v>
      </c>
      <c r="R5" s="14">
        <f t="shared" si="2"/>
        <v>2791.87</v>
      </c>
      <c r="S5" s="7" t="s">
        <v>50</v>
      </c>
      <c r="T5" s="12">
        <v>50148</v>
      </c>
    </row>
    <row r="6" spans="1:26" ht="19.2" customHeight="1" x14ac:dyDescent="0.3">
      <c r="A6" s="9">
        <v>46091</v>
      </c>
      <c r="B6" s="7" t="s">
        <v>96</v>
      </c>
      <c r="C6" s="19">
        <v>1078</v>
      </c>
      <c r="D6" s="20">
        <v>3600270750</v>
      </c>
      <c r="E6" s="12">
        <v>349353</v>
      </c>
      <c r="F6" s="7" t="s">
        <v>24</v>
      </c>
      <c r="G6" s="7"/>
      <c r="H6" s="7" t="str">
        <f>+VLOOKUP(F6,Categories!A:B,2,)</f>
        <v>Tires &amp; Wheels</v>
      </c>
      <c r="I6" s="14">
        <v>189.9</v>
      </c>
      <c r="J6" s="14">
        <v>350</v>
      </c>
      <c r="K6" s="14">
        <v>121.1</v>
      </c>
      <c r="L6" s="14">
        <v>0</v>
      </c>
      <c r="M6" s="16">
        <f t="shared" si="0"/>
        <v>661</v>
      </c>
      <c r="N6" s="14">
        <v>33.06</v>
      </c>
      <c r="O6" s="14">
        <v>0</v>
      </c>
      <c r="P6" s="14">
        <f t="shared" si="1"/>
        <v>33.06</v>
      </c>
      <c r="Q6" s="7" t="str">
        <f>+IF(AND(N6&gt;0,O6=0),"GST ONLY",IF(AND(N6&gt;0,#REF!&gt;=0),"GST + PST","NO TAX"))</f>
        <v>GST ONLY</v>
      </c>
      <c r="R6" s="14">
        <f t="shared" si="2"/>
        <v>694.06</v>
      </c>
      <c r="S6" s="7" t="s">
        <v>50</v>
      </c>
      <c r="T6" s="12">
        <v>49744</v>
      </c>
    </row>
    <row r="7" spans="1:26" ht="19.2" customHeight="1" x14ac:dyDescent="0.3">
      <c r="A7" s="9">
        <v>46091</v>
      </c>
      <c r="B7" s="7" t="s">
        <v>96</v>
      </c>
      <c r="C7" s="19">
        <v>1078</v>
      </c>
      <c r="D7" s="20">
        <v>3600270750</v>
      </c>
      <c r="E7" s="12">
        <v>335824</v>
      </c>
      <c r="F7" s="7" t="s">
        <v>25</v>
      </c>
      <c r="G7" s="7"/>
      <c r="H7" s="7" t="s">
        <v>121</v>
      </c>
      <c r="I7" s="14">
        <v>51.59</v>
      </c>
      <c r="J7" s="14">
        <v>0</v>
      </c>
      <c r="K7" s="14">
        <v>155.85</v>
      </c>
      <c r="L7" s="14">
        <v>0</v>
      </c>
      <c r="M7" s="16">
        <f t="shared" si="0"/>
        <v>207.44</v>
      </c>
      <c r="N7" s="14">
        <v>10.37</v>
      </c>
      <c r="O7" s="14">
        <v>0</v>
      </c>
      <c r="P7" s="14">
        <f t="shared" si="1"/>
        <v>10.37</v>
      </c>
      <c r="Q7" s="7" t="str">
        <f>+IF(AND(N7&gt;0,O7=0),"GST ONLY",IF(AND(N7&gt;0,#REF!&gt;=0),"GST + PST","NO TAX"))</f>
        <v>GST ONLY</v>
      </c>
      <c r="R7" s="14">
        <f t="shared" si="2"/>
        <v>217.81</v>
      </c>
      <c r="S7" s="7" t="s">
        <v>50</v>
      </c>
      <c r="T7" s="12">
        <v>94733</v>
      </c>
    </row>
    <row r="8" spans="1:26" ht="19.2" customHeight="1" x14ac:dyDescent="0.3">
      <c r="A8" s="9">
        <v>46091</v>
      </c>
      <c r="B8" s="7" t="s">
        <v>96</v>
      </c>
      <c r="C8" s="19">
        <v>1078</v>
      </c>
      <c r="D8" s="20">
        <v>3600270750</v>
      </c>
      <c r="E8" s="12">
        <v>348815</v>
      </c>
      <c r="F8" s="7" t="s">
        <v>26</v>
      </c>
      <c r="G8" s="7"/>
      <c r="H8" s="7" t="str">
        <f>+VLOOKUP(F8,Categories!A:B,2,)</f>
        <v>Fuel &amp; Recharge</v>
      </c>
      <c r="I8" s="10">
        <v>25</v>
      </c>
      <c r="J8" s="10">
        <f>57.3+2.72</f>
        <v>60.019999999999996</v>
      </c>
      <c r="K8" s="10">
        <v>0</v>
      </c>
      <c r="L8" s="10">
        <v>0</v>
      </c>
      <c r="M8" s="11">
        <f t="shared" si="0"/>
        <v>85.02</v>
      </c>
      <c r="N8" s="10">
        <v>4.26</v>
      </c>
      <c r="O8" s="10">
        <v>0</v>
      </c>
      <c r="P8" s="10">
        <f t="shared" si="1"/>
        <v>4.26</v>
      </c>
      <c r="Q8" s="7" t="str">
        <f>+IF(AND(N8&gt;0,O8=0),"GST ONLY",IF(AND(N8&gt;0,#REF!&gt;=0),"GST + PST","NO TAX"))</f>
        <v>GST ONLY</v>
      </c>
      <c r="R8" s="10">
        <f t="shared" si="2"/>
        <v>89.28</v>
      </c>
      <c r="S8" s="7" t="s">
        <v>27</v>
      </c>
      <c r="T8" s="12">
        <v>11764</v>
      </c>
    </row>
    <row r="9" spans="1:26" ht="19.2" customHeight="1" x14ac:dyDescent="0.3">
      <c r="A9" s="9">
        <v>46091</v>
      </c>
      <c r="B9" t="s">
        <v>97</v>
      </c>
      <c r="C9" s="19">
        <v>1117</v>
      </c>
      <c r="D9" s="20" t="s">
        <v>29</v>
      </c>
      <c r="E9" s="12">
        <v>390687</v>
      </c>
      <c r="F9" s="7" t="s">
        <v>28</v>
      </c>
      <c r="G9" s="7"/>
      <c r="H9" s="7" t="s">
        <v>121</v>
      </c>
      <c r="I9" s="14">
        <v>0</v>
      </c>
      <c r="J9" s="14">
        <v>0</v>
      </c>
      <c r="K9" s="14">
        <v>1496.67</v>
      </c>
      <c r="L9" s="14">
        <v>0</v>
      </c>
      <c r="M9" s="16">
        <f t="shared" si="0"/>
        <v>1496.67</v>
      </c>
      <c r="N9" s="14">
        <v>74.83</v>
      </c>
      <c r="O9" s="14">
        <v>104.77</v>
      </c>
      <c r="P9" s="14">
        <f t="shared" si="1"/>
        <v>179.6</v>
      </c>
      <c r="Q9" s="7" t="str">
        <f t="shared" ref="Q9:Q16" si="3">+IFERROR(+IF(AND(N9&gt;0,O9=0),"GST ONLY",IF(AND(N9&gt;0,O9&gt;=0),"GST + PST","NO TAX")),"")</f>
        <v>GST + PST</v>
      </c>
      <c r="R9" s="14">
        <f t="shared" si="2"/>
        <v>1676.27</v>
      </c>
      <c r="S9" s="7" t="s">
        <v>50</v>
      </c>
      <c r="T9" s="12">
        <v>50229</v>
      </c>
    </row>
    <row r="10" spans="1:26" ht="19.2" customHeight="1" x14ac:dyDescent="0.3">
      <c r="A10" s="9">
        <v>46093</v>
      </c>
      <c r="B10" s="7" t="s">
        <v>94</v>
      </c>
      <c r="C10" s="19">
        <v>1122</v>
      </c>
      <c r="D10" s="20">
        <v>3600270795</v>
      </c>
      <c r="E10" s="12">
        <v>378347</v>
      </c>
      <c r="F10" s="7" t="s">
        <v>30</v>
      </c>
      <c r="G10" s="7"/>
      <c r="H10" s="7" t="str">
        <f>+VLOOKUP(F10,Categories!A:B,2,)</f>
        <v>Financial / Admin</v>
      </c>
      <c r="I10" s="14">
        <v>0</v>
      </c>
      <c r="J10" s="14">
        <v>2500</v>
      </c>
      <c r="K10" s="14">
        <v>0</v>
      </c>
      <c r="L10" s="14">
        <v>0</v>
      </c>
      <c r="M10" s="16">
        <f t="shared" si="0"/>
        <v>2500</v>
      </c>
      <c r="N10" s="14">
        <v>326.27</v>
      </c>
      <c r="O10" s="14">
        <v>0</v>
      </c>
      <c r="P10" s="14">
        <f t="shared" si="1"/>
        <v>326.27</v>
      </c>
      <c r="Q10" s="7" t="str">
        <f t="shared" si="3"/>
        <v>GST ONLY</v>
      </c>
      <c r="R10" s="14">
        <f t="shared" si="2"/>
        <v>2826.27</v>
      </c>
      <c r="S10" s="7" t="s">
        <v>50</v>
      </c>
      <c r="T10" s="12">
        <v>51242</v>
      </c>
    </row>
    <row r="11" spans="1:26" ht="19.2" customHeight="1" x14ac:dyDescent="0.3">
      <c r="A11" s="9">
        <v>46093</v>
      </c>
      <c r="B11" s="7" t="s">
        <v>94</v>
      </c>
      <c r="C11" s="19">
        <v>1122</v>
      </c>
      <c r="D11" s="20">
        <v>3600270795</v>
      </c>
      <c r="E11" s="12">
        <v>627377</v>
      </c>
      <c r="F11" s="7" t="s">
        <v>31</v>
      </c>
      <c r="G11" s="7"/>
      <c r="H11" s="7" t="str">
        <f>+VLOOKUP(F11,Categories!A:B,2,)</f>
        <v>Tires &amp; Wheels</v>
      </c>
      <c r="I11" s="14">
        <v>0</v>
      </c>
      <c r="J11" s="14">
        <v>0</v>
      </c>
      <c r="K11" s="14">
        <v>109.82</v>
      </c>
      <c r="L11" s="14">
        <v>0</v>
      </c>
      <c r="M11" s="16">
        <f t="shared" si="0"/>
        <v>109.82</v>
      </c>
      <c r="N11" s="14">
        <v>5.49</v>
      </c>
      <c r="O11" s="14">
        <v>7.69</v>
      </c>
      <c r="P11" s="14">
        <f t="shared" si="1"/>
        <v>13.18</v>
      </c>
      <c r="Q11" s="7" t="str">
        <f t="shared" si="3"/>
        <v>GST + PST</v>
      </c>
      <c r="R11" s="14">
        <f t="shared" si="2"/>
        <v>123</v>
      </c>
      <c r="S11" s="7" t="s">
        <v>50</v>
      </c>
      <c r="T11" s="12">
        <v>51242</v>
      </c>
    </row>
    <row r="12" spans="1:26" ht="19.2" customHeight="1" x14ac:dyDescent="0.3">
      <c r="A12" s="9">
        <v>46093</v>
      </c>
      <c r="B12" s="7" t="s">
        <v>94</v>
      </c>
      <c r="C12" s="19">
        <v>1122</v>
      </c>
      <c r="D12" s="20">
        <v>3600270795</v>
      </c>
      <c r="E12" s="12">
        <v>688702</v>
      </c>
      <c r="F12" s="7" t="s">
        <v>119</v>
      </c>
      <c r="G12" s="7"/>
      <c r="H12" s="7" t="str">
        <f>+VLOOKUP(F12,Categories!A:B,2,)</f>
        <v>Cleaning</v>
      </c>
      <c r="I12" s="14">
        <v>0</v>
      </c>
      <c r="J12" s="14">
        <v>130</v>
      </c>
      <c r="K12" s="14">
        <v>0</v>
      </c>
      <c r="L12" s="14">
        <v>0</v>
      </c>
      <c r="M12" s="16">
        <f t="shared" ref="M12" si="4">+I12+J12+K12-L12</f>
        <v>130</v>
      </c>
      <c r="N12" s="14">
        <f>+M12*0.05</f>
        <v>6.5</v>
      </c>
      <c r="O12" s="14">
        <f>+M12*0.07</f>
        <v>9.1000000000000014</v>
      </c>
      <c r="P12" s="14">
        <f t="shared" ref="P12" si="5">+N12+O12</f>
        <v>15.600000000000001</v>
      </c>
      <c r="Q12" s="7" t="str">
        <f t="shared" ref="Q12" si="6">+IFERROR(+IF(AND(N12&gt;0,O12=0),"GST ONLY",IF(AND(N12&gt;0,O12&gt;=0),"GST + PST","NO TAX")),"")</f>
        <v>GST + PST</v>
      </c>
      <c r="R12" s="14">
        <f t="shared" ref="R12" si="7">+ROUND(P12+M12,2)</f>
        <v>145.6</v>
      </c>
      <c r="S12" s="7" t="s">
        <v>50</v>
      </c>
      <c r="T12" s="12">
        <v>50388</v>
      </c>
    </row>
    <row r="13" spans="1:26" ht="19.2" customHeight="1" x14ac:dyDescent="0.3">
      <c r="A13" s="9">
        <v>46093</v>
      </c>
      <c r="B13" s="7" t="s">
        <v>94</v>
      </c>
      <c r="C13" s="19">
        <v>1122</v>
      </c>
      <c r="D13" s="20">
        <v>3600270795</v>
      </c>
      <c r="E13" s="12">
        <v>688702</v>
      </c>
      <c r="F13" s="7" t="s">
        <v>36</v>
      </c>
      <c r="G13" s="7"/>
      <c r="H13" s="7" t="str">
        <f>+VLOOKUP(F13,Categories!A:B,2,)</f>
        <v>Fuel &amp; Recharge</v>
      </c>
      <c r="I13" s="14">
        <v>0</v>
      </c>
      <c r="J13" s="14">
        <v>45</v>
      </c>
      <c r="K13" s="14">
        <v>0</v>
      </c>
      <c r="L13" s="14">
        <v>0</v>
      </c>
      <c r="M13" s="16">
        <f t="shared" si="0"/>
        <v>45</v>
      </c>
      <c r="N13" s="14">
        <f>+M13*0.05</f>
        <v>2.25</v>
      </c>
      <c r="O13" s="14">
        <f>+M13*0.07</f>
        <v>3.1500000000000004</v>
      </c>
      <c r="P13" s="14">
        <f t="shared" si="1"/>
        <v>5.4</v>
      </c>
      <c r="Q13" s="7" t="str">
        <f t="shared" si="3"/>
        <v>GST + PST</v>
      </c>
      <c r="R13" s="14">
        <f t="shared" si="2"/>
        <v>50.4</v>
      </c>
      <c r="S13" s="7" t="s">
        <v>50</v>
      </c>
      <c r="T13" s="12">
        <v>50388</v>
      </c>
    </row>
    <row r="14" spans="1:26" ht="19.2" customHeight="1" x14ac:dyDescent="0.3">
      <c r="A14" s="9">
        <v>46093</v>
      </c>
      <c r="B14" s="7" t="s">
        <v>94</v>
      </c>
      <c r="C14" s="19">
        <v>1122</v>
      </c>
      <c r="D14" s="20">
        <v>3600270795</v>
      </c>
      <c r="E14" s="12">
        <v>690816</v>
      </c>
      <c r="F14" s="7" t="s">
        <v>33</v>
      </c>
      <c r="G14" s="7"/>
      <c r="H14" s="7" t="str">
        <f>+VLOOKUP(F14,Categories!A:B,2,)</f>
        <v>Tires &amp; Wheels</v>
      </c>
      <c r="I14" s="14">
        <v>40</v>
      </c>
      <c r="J14" s="14">
        <v>6.5</v>
      </c>
      <c r="K14" s="14">
        <v>408.77</v>
      </c>
      <c r="L14" s="14">
        <v>0</v>
      </c>
      <c r="M14" s="16">
        <f t="shared" si="0"/>
        <v>455.27</v>
      </c>
      <c r="N14" s="14">
        <v>22.76</v>
      </c>
      <c r="O14" s="14">
        <v>31.87</v>
      </c>
      <c r="P14" s="14">
        <f t="shared" si="1"/>
        <v>54.63</v>
      </c>
      <c r="Q14" s="7" t="str">
        <f t="shared" si="3"/>
        <v>GST + PST</v>
      </c>
      <c r="R14" s="14">
        <f t="shared" si="2"/>
        <v>509.9</v>
      </c>
      <c r="S14" s="7" t="s">
        <v>50</v>
      </c>
      <c r="T14" s="12">
        <v>50706</v>
      </c>
    </row>
    <row r="15" spans="1:26" ht="19.2" customHeight="1" x14ac:dyDescent="0.3">
      <c r="A15" s="9">
        <v>46093</v>
      </c>
      <c r="B15" s="7" t="s">
        <v>94</v>
      </c>
      <c r="C15" s="19">
        <v>1122</v>
      </c>
      <c r="D15" s="20">
        <v>3600270795</v>
      </c>
      <c r="E15" s="12">
        <v>699272</v>
      </c>
      <c r="F15" s="7" t="s">
        <v>116</v>
      </c>
      <c r="G15" s="7"/>
      <c r="H15" s="7" t="s">
        <v>121</v>
      </c>
      <c r="I15" s="14">
        <v>0</v>
      </c>
      <c r="J15" s="14">
        <v>75</v>
      </c>
      <c r="K15" s="14">
        <v>0</v>
      </c>
      <c r="L15" s="14">
        <v>0</v>
      </c>
      <c r="M15" s="16">
        <f t="shared" si="0"/>
        <v>75</v>
      </c>
      <c r="N15" s="14">
        <v>0</v>
      </c>
      <c r="O15" s="14">
        <v>0</v>
      </c>
      <c r="P15" s="14">
        <f t="shared" si="1"/>
        <v>0</v>
      </c>
      <c r="Q15" s="7" t="str">
        <f t="shared" si="3"/>
        <v>NO TAX</v>
      </c>
      <c r="R15" s="14">
        <f t="shared" si="2"/>
        <v>75</v>
      </c>
      <c r="S15" s="7" t="s">
        <v>50</v>
      </c>
      <c r="T15" s="12">
        <v>50706</v>
      </c>
    </row>
    <row r="16" spans="1:26" ht="19.2" customHeight="1" x14ac:dyDescent="0.3">
      <c r="A16" s="9">
        <v>46093</v>
      </c>
      <c r="B16" s="7" t="s">
        <v>94</v>
      </c>
      <c r="C16" s="19">
        <v>1122</v>
      </c>
      <c r="D16" s="20">
        <v>3600270795</v>
      </c>
      <c r="E16" s="12">
        <v>701767</v>
      </c>
      <c r="F16" s="7" t="s">
        <v>33</v>
      </c>
      <c r="G16" s="7"/>
      <c r="H16" s="7" t="str">
        <f>+VLOOKUP(F16,Categories!A:B,2,)</f>
        <v>Tires &amp; Wheels</v>
      </c>
      <c r="I16" s="14">
        <v>35</v>
      </c>
      <c r="J16" s="14">
        <v>6.5</v>
      </c>
      <c r="K16" s="14">
        <v>443.09</v>
      </c>
      <c r="L16" s="14">
        <v>0</v>
      </c>
      <c r="M16" s="16">
        <f t="shared" si="0"/>
        <v>484.59</v>
      </c>
      <c r="N16" s="14">
        <v>24.23</v>
      </c>
      <c r="O16" s="14">
        <v>33.92</v>
      </c>
      <c r="P16" s="14">
        <f t="shared" si="1"/>
        <v>58.150000000000006</v>
      </c>
      <c r="Q16" s="7" t="str">
        <f t="shared" si="3"/>
        <v>GST + PST</v>
      </c>
      <c r="R16" s="14">
        <f t="shared" si="2"/>
        <v>542.74</v>
      </c>
      <c r="S16" s="7" t="s">
        <v>50</v>
      </c>
      <c r="T16" s="12">
        <v>51361</v>
      </c>
    </row>
    <row r="17" spans="1:20" ht="19.2" customHeight="1" x14ac:dyDescent="0.3">
      <c r="A17" s="9">
        <v>46093</v>
      </c>
      <c r="B17" s="7" t="s">
        <v>94</v>
      </c>
      <c r="C17" s="19">
        <v>1122</v>
      </c>
      <c r="D17" s="20">
        <v>3600270796</v>
      </c>
      <c r="E17" s="12">
        <v>694734</v>
      </c>
      <c r="F17" s="7" t="s">
        <v>35</v>
      </c>
      <c r="G17" s="7"/>
      <c r="H17" s="7" t="str">
        <f>+VLOOKUP(F17,Categories!A:B,2,)</f>
        <v>Inspection (CVI)</v>
      </c>
      <c r="I17" s="14">
        <v>209.95</v>
      </c>
      <c r="J17" s="14">
        <v>0</v>
      </c>
      <c r="K17" s="14">
        <v>0</v>
      </c>
      <c r="L17" s="14">
        <v>0</v>
      </c>
      <c r="M17" s="16">
        <v>209.95</v>
      </c>
      <c r="N17" s="14">
        <v>10.5</v>
      </c>
      <c r="O17" s="14">
        <v>14.7</v>
      </c>
      <c r="P17" s="14">
        <v>25.2</v>
      </c>
      <c r="Q17" s="7" t="s">
        <v>19</v>
      </c>
      <c r="R17" s="14">
        <v>235.15</v>
      </c>
      <c r="S17" s="7" t="s">
        <v>50</v>
      </c>
      <c r="T17" s="12">
        <v>50104</v>
      </c>
    </row>
    <row r="18" spans="1:20" ht="19.2" customHeight="1" x14ac:dyDescent="0.3">
      <c r="A18" s="9">
        <v>46098</v>
      </c>
      <c r="B18" s="7" t="s">
        <v>94</v>
      </c>
      <c r="C18" s="19">
        <v>1122</v>
      </c>
      <c r="D18" s="20">
        <v>3600270822</v>
      </c>
      <c r="E18" s="12">
        <v>704619</v>
      </c>
      <c r="F18" s="7" t="s">
        <v>36</v>
      </c>
      <c r="G18" s="7"/>
      <c r="H18" s="7" t="str">
        <f>+VLOOKUP(F18,Categories!A:B,2,)</f>
        <v>Fuel &amp; Recharge</v>
      </c>
      <c r="I18" s="14">
        <v>0</v>
      </c>
      <c r="J18" s="14">
        <v>25</v>
      </c>
      <c r="K18" s="14">
        <v>0</v>
      </c>
      <c r="L18" s="14">
        <v>0</v>
      </c>
      <c r="M18" s="16">
        <v>25</v>
      </c>
      <c r="N18" s="14">
        <v>0</v>
      </c>
      <c r="O18" s="14">
        <v>0</v>
      </c>
      <c r="P18" s="14">
        <v>0</v>
      </c>
      <c r="Q18" s="7" t="s">
        <v>0</v>
      </c>
      <c r="R18" s="14">
        <v>25</v>
      </c>
      <c r="S18" s="7" t="s">
        <v>50</v>
      </c>
      <c r="T18" s="12">
        <v>51104</v>
      </c>
    </row>
    <row r="19" spans="1:20" ht="19.2" customHeight="1" x14ac:dyDescent="0.3">
      <c r="A19" s="9">
        <v>46106</v>
      </c>
      <c r="B19" s="7" t="s">
        <v>95</v>
      </c>
      <c r="C19" s="19">
        <v>1088</v>
      </c>
      <c r="D19" s="20">
        <v>3600271656</v>
      </c>
      <c r="E19" s="12">
        <v>541976</v>
      </c>
      <c r="F19" s="7" t="s">
        <v>37</v>
      </c>
      <c r="G19" s="7"/>
      <c r="H19" s="7" t="s">
        <v>121</v>
      </c>
      <c r="I19" s="14">
        <v>17</v>
      </c>
      <c r="J19" s="14">
        <v>0</v>
      </c>
      <c r="K19" s="14">
        <v>30</v>
      </c>
      <c r="L19" s="14">
        <v>0</v>
      </c>
      <c r="M19" s="16">
        <v>47</v>
      </c>
      <c r="N19" s="14">
        <v>2.35</v>
      </c>
      <c r="O19" s="14">
        <v>3.29</v>
      </c>
      <c r="P19" s="14">
        <v>5.6400000000000006</v>
      </c>
      <c r="Q19" s="7" t="s">
        <v>19</v>
      </c>
      <c r="R19" s="14">
        <v>52.64</v>
      </c>
      <c r="S19" s="7" t="s">
        <v>50</v>
      </c>
      <c r="T19" s="12">
        <v>58289</v>
      </c>
    </row>
    <row r="20" spans="1:20" ht="19.2" customHeight="1" x14ac:dyDescent="0.3">
      <c r="A20" s="9">
        <v>46106</v>
      </c>
      <c r="B20" s="7" t="s">
        <v>94</v>
      </c>
      <c r="C20" s="19">
        <v>1122</v>
      </c>
      <c r="D20" s="20">
        <v>3600271657</v>
      </c>
      <c r="E20" s="12">
        <v>704724</v>
      </c>
      <c r="F20" s="7" t="s">
        <v>35</v>
      </c>
      <c r="G20" s="7"/>
      <c r="H20" s="7" t="str">
        <f>+VLOOKUP(F20,Categories!A:B,2,)</f>
        <v>Inspection (CVI)</v>
      </c>
      <c r="I20" s="14">
        <v>209.95</v>
      </c>
      <c r="J20" s="14">
        <v>3.5</v>
      </c>
      <c r="K20" s="14">
        <v>0</v>
      </c>
      <c r="L20" s="14">
        <v>0</v>
      </c>
      <c r="M20" s="16">
        <f>+I20+J20+K20-L20</f>
        <v>213.45</v>
      </c>
      <c r="N20" s="14">
        <f>+M20*0.05</f>
        <v>10.672499999999999</v>
      </c>
      <c r="O20" s="14">
        <f>+M20*0.07</f>
        <v>14.941500000000001</v>
      </c>
      <c r="P20" s="14">
        <f>+N20+O20</f>
        <v>25.614000000000001</v>
      </c>
      <c r="Q20" s="7" t="str">
        <f>+IFERROR(+IF(AND(N20&gt;0,O20=0),"GST ONLY",IF(AND(N20&gt;0,O20&gt;=0),"GST + PST","NO TAX")),"")</f>
        <v>GST + PST</v>
      </c>
      <c r="R20" s="14">
        <f>+ROUND(P20+M20,2)</f>
        <v>239.06</v>
      </c>
      <c r="S20" s="7" t="s">
        <v>50</v>
      </c>
      <c r="T20" s="12">
        <v>94807</v>
      </c>
    </row>
    <row r="21" spans="1:20" ht="19.2" customHeight="1" x14ac:dyDescent="0.3">
      <c r="A21" s="9">
        <v>46106</v>
      </c>
      <c r="B21" s="7" t="s">
        <v>94</v>
      </c>
      <c r="C21" s="19">
        <v>1122</v>
      </c>
      <c r="D21" s="20">
        <v>3600271657</v>
      </c>
      <c r="E21" s="12">
        <v>704724</v>
      </c>
      <c r="F21" s="7" t="s">
        <v>114</v>
      </c>
      <c r="G21" s="7"/>
      <c r="H21" s="7" t="s">
        <v>121</v>
      </c>
      <c r="I21" s="14">
        <f>291+388</f>
        <v>679</v>
      </c>
      <c r="J21" s="14">
        <v>0</v>
      </c>
      <c r="K21" s="14">
        <v>0</v>
      </c>
      <c r="L21" s="14">
        <v>0</v>
      </c>
      <c r="M21" s="16">
        <f>+I21+J21+K21-L21</f>
        <v>679</v>
      </c>
      <c r="N21" s="14">
        <f>+M21*0.05</f>
        <v>33.950000000000003</v>
      </c>
      <c r="O21" s="14">
        <f>+M21*0.07</f>
        <v>47.53</v>
      </c>
      <c r="P21" s="14">
        <f>+N21+O21</f>
        <v>81.48</v>
      </c>
      <c r="Q21" s="7" t="str">
        <f>+IFERROR(+IF(AND(N21&gt;0,O21=0),"GST ONLY",IF(AND(N21&gt;0,O21&gt;=0),"GST + PST","NO TAX")),"")</f>
        <v>GST + PST</v>
      </c>
      <c r="R21" s="14">
        <f>+ROUND(P21+M21,2)</f>
        <v>760.48</v>
      </c>
      <c r="S21" s="7" t="s">
        <v>50</v>
      </c>
      <c r="T21" s="12">
        <v>94807</v>
      </c>
    </row>
    <row r="22" spans="1:20" ht="19.2" customHeight="1" x14ac:dyDescent="0.3">
      <c r="A22" s="9">
        <v>46106</v>
      </c>
      <c r="B22" s="7" t="s">
        <v>94</v>
      </c>
      <c r="C22" s="19">
        <v>1122</v>
      </c>
      <c r="D22" s="20">
        <v>3600271657</v>
      </c>
      <c r="E22" s="12">
        <v>704725</v>
      </c>
      <c r="F22" s="7" t="s">
        <v>35</v>
      </c>
      <c r="G22" s="7"/>
      <c r="H22" s="7" t="str">
        <f>+VLOOKUP(F22,Categories!A:B,2,)</f>
        <v>Inspection (CVI)</v>
      </c>
      <c r="I22" s="14">
        <v>209.95</v>
      </c>
      <c r="J22" s="14">
        <v>3.5</v>
      </c>
      <c r="K22" s="14">
        <v>0</v>
      </c>
      <c r="L22" s="14">
        <v>0</v>
      </c>
      <c r="M22" s="16">
        <f>+I22+J22+K22-L22</f>
        <v>213.45</v>
      </c>
      <c r="N22" s="14">
        <f>+M22*0.05</f>
        <v>10.672499999999999</v>
      </c>
      <c r="O22" s="14">
        <f>+M22*0.07</f>
        <v>14.941500000000001</v>
      </c>
      <c r="P22" s="14">
        <f>+N22+O22</f>
        <v>25.614000000000001</v>
      </c>
      <c r="Q22" s="7" t="str">
        <f>+IFERROR(+IF(AND(N22&gt;0,O22=0),"GST ONLY",IF(AND(N22&gt;0,O22&gt;=0),"GST + PST","NO TAX")),"")</f>
        <v>GST + PST</v>
      </c>
      <c r="R22" s="14">
        <f>+ROUND(P22+M22,2)</f>
        <v>239.06</v>
      </c>
      <c r="S22" s="7" t="s">
        <v>50</v>
      </c>
      <c r="T22" s="12" t="s">
        <v>115</v>
      </c>
    </row>
    <row r="23" spans="1:20" ht="19.2" customHeight="1" x14ac:dyDescent="0.3">
      <c r="A23" s="9">
        <v>46056</v>
      </c>
      <c r="B23" s="7" t="s">
        <v>94</v>
      </c>
      <c r="C23" s="19">
        <v>1122</v>
      </c>
      <c r="D23" s="21">
        <v>3600268565</v>
      </c>
      <c r="E23" s="12">
        <v>699883</v>
      </c>
      <c r="F23" s="7" t="s">
        <v>36</v>
      </c>
      <c r="G23" s="7"/>
      <c r="H23" s="7" t="str">
        <f>+VLOOKUP(F23,Categories!A:B,2,)</f>
        <v>Fuel &amp; Recharge</v>
      </c>
      <c r="I23" s="14">
        <v>0</v>
      </c>
      <c r="J23" s="14">
        <v>25</v>
      </c>
      <c r="K23" s="14">
        <v>0</v>
      </c>
      <c r="L23" s="14">
        <v>0</v>
      </c>
      <c r="M23" s="16">
        <v>25</v>
      </c>
      <c r="N23" s="14">
        <v>0</v>
      </c>
      <c r="O23" s="14">
        <v>0</v>
      </c>
      <c r="P23" s="14">
        <v>0</v>
      </c>
      <c r="Q23" s="7" t="s">
        <v>22</v>
      </c>
      <c r="R23" s="14">
        <v>25</v>
      </c>
      <c r="S23" s="7" t="s">
        <v>50</v>
      </c>
      <c r="T23" s="12">
        <v>94917</v>
      </c>
    </row>
    <row r="24" spans="1:20" ht="19.2" customHeight="1" x14ac:dyDescent="0.3">
      <c r="A24" s="9">
        <v>46056</v>
      </c>
      <c r="B24" t="s">
        <v>97</v>
      </c>
      <c r="C24" s="19">
        <v>1117</v>
      </c>
      <c r="D24" s="21">
        <v>3600268566</v>
      </c>
      <c r="E24" s="12">
        <v>267242</v>
      </c>
      <c r="F24" s="7" t="s">
        <v>39</v>
      </c>
      <c r="G24" s="7"/>
      <c r="H24" s="7" t="s">
        <v>121</v>
      </c>
      <c r="I24" s="14">
        <v>0</v>
      </c>
      <c r="J24" s="14">
        <v>0</v>
      </c>
      <c r="K24" s="14">
        <v>113.18</v>
      </c>
      <c r="L24" s="14">
        <v>0</v>
      </c>
      <c r="M24" s="16">
        <v>113.18</v>
      </c>
      <c r="N24" s="14">
        <v>5.66</v>
      </c>
      <c r="O24" s="14">
        <v>7.92</v>
      </c>
      <c r="P24" s="14">
        <v>13.58</v>
      </c>
      <c r="Q24" s="7" t="s">
        <v>19</v>
      </c>
      <c r="R24" s="14">
        <v>126.76</v>
      </c>
      <c r="S24" s="7" t="s">
        <v>50</v>
      </c>
      <c r="T24" s="12">
        <v>50463</v>
      </c>
    </row>
    <row r="25" spans="1:20" ht="19.2" customHeight="1" x14ac:dyDescent="0.3">
      <c r="A25" s="9">
        <v>46056</v>
      </c>
      <c r="B25" t="s">
        <v>97</v>
      </c>
      <c r="C25" s="19">
        <v>1117</v>
      </c>
      <c r="D25" s="21">
        <v>3600268566</v>
      </c>
      <c r="E25" s="12">
        <v>380217</v>
      </c>
      <c r="F25" s="7" t="s">
        <v>40</v>
      </c>
      <c r="G25" s="7"/>
      <c r="H25" s="7" t="str">
        <f>+VLOOKUP(F25,Categories!A:B,2,)</f>
        <v>Fuel &amp; Recharge</v>
      </c>
      <c r="I25" s="10">
        <v>50.73</v>
      </c>
      <c r="J25" s="10">
        <v>6.09</v>
      </c>
      <c r="K25" s="10">
        <v>0</v>
      </c>
      <c r="L25" s="10">
        <v>0</v>
      </c>
      <c r="M25" s="11">
        <v>56.819999999999993</v>
      </c>
      <c r="N25" s="10">
        <v>2.84</v>
      </c>
      <c r="O25" s="10">
        <v>3.98</v>
      </c>
      <c r="P25" s="10">
        <v>6.82</v>
      </c>
      <c r="Q25" s="7" t="s">
        <v>19</v>
      </c>
      <c r="R25" s="10">
        <v>63.64</v>
      </c>
      <c r="S25" s="7" t="s">
        <v>27</v>
      </c>
      <c r="T25" s="12" t="s">
        <v>41</v>
      </c>
    </row>
    <row r="26" spans="1:20" ht="19.2" customHeight="1" x14ac:dyDescent="0.3">
      <c r="A26" s="9">
        <v>46056</v>
      </c>
      <c r="B26" t="s">
        <v>97</v>
      </c>
      <c r="C26" s="19">
        <v>1117</v>
      </c>
      <c r="D26" s="21">
        <v>3600268566</v>
      </c>
      <c r="E26" s="12">
        <v>385688</v>
      </c>
      <c r="F26" s="7" t="s">
        <v>33</v>
      </c>
      <c r="G26" s="7"/>
      <c r="H26" s="7" t="str">
        <f>+VLOOKUP(F26,Categories!A:B,2,)</f>
        <v>Tires &amp; Wheels</v>
      </c>
      <c r="I26" s="14">
        <v>92.48</v>
      </c>
      <c r="J26" s="14">
        <v>24.1</v>
      </c>
      <c r="K26" s="14">
        <v>1097.96</v>
      </c>
      <c r="L26" s="14">
        <v>0</v>
      </c>
      <c r="M26" s="16">
        <v>1214.54</v>
      </c>
      <c r="N26" s="14">
        <v>60.73</v>
      </c>
      <c r="O26" s="14">
        <v>85.02</v>
      </c>
      <c r="P26" s="14">
        <v>145.75</v>
      </c>
      <c r="Q26" s="7" t="s">
        <v>19</v>
      </c>
      <c r="R26" s="14">
        <v>1360.29</v>
      </c>
      <c r="S26" s="7" t="s">
        <v>50</v>
      </c>
      <c r="T26" s="12">
        <v>50565</v>
      </c>
    </row>
    <row r="27" spans="1:20" ht="19.2" customHeight="1" x14ac:dyDescent="0.3">
      <c r="A27" s="9">
        <v>46065</v>
      </c>
      <c r="B27" s="7" t="s">
        <v>94</v>
      </c>
      <c r="C27" s="19">
        <v>1122</v>
      </c>
      <c r="D27" s="21">
        <v>3600268722</v>
      </c>
      <c r="E27" s="12">
        <v>700700</v>
      </c>
      <c r="F27" s="7" t="s">
        <v>36</v>
      </c>
      <c r="G27" s="7"/>
      <c r="H27" s="7" t="str">
        <f>+VLOOKUP(F27,Categories!A:B,2,)</f>
        <v>Fuel &amp; Recharge</v>
      </c>
      <c r="I27" s="14">
        <v>0</v>
      </c>
      <c r="J27" s="14">
        <v>25</v>
      </c>
      <c r="K27" s="14">
        <v>0</v>
      </c>
      <c r="L27" s="14">
        <v>0</v>
      </c>
      <c r="M27" s="16">
        <f t="shared" ref="M27:M44" si="8">+I27+J27+K27-L27</f>
        <v>25</v>
      </c>
      <c r="N27" s="14">
        <v>0</v>
      </c>
      <c r="O27" s="14">
        <v>0</v>
      </c>
      <c r="P27" s="14">
        <f t="shared" ref="P27:P44" si="9">+N27+O27</f>
        <v>0</v>
      </c>
      <c r="Q27" s="7" t="s">
        <v>22</v>
      </c>
      <c r="R27" s="14">
        <f t="shared" ref="R27:R44" si="10">+ROUND(P27+M27,2)</f>
        <v>25</v>
      </c>
      <c r="S27" s="7" t="s">
        <v>50</v>
      </c>
      <c r="T27" s="12">
        <v>51361</v>
      </c>
    </row>
    <row r="28" spans="1:20" ht="19.2" customHeight="1" x14ac:dyDescent="0.3">
      <c r="A28" s="9">
        <v>46065</v>
      </c>
      <c r="B28" s="7" t="s">
        <v>94</v>
      </c>
      <c r="C28" s="19">
        <v>1122</v>
      </c>
      <c r="D28" s="21">
        <v>3600268722</v>
      </c>
      <c r="E28" s="12">
        <v>701262</v>
      </c>
      <c r="F28" s="7" t="s">
        <v>36</v>
      </c>
      <c r="G28" s="7"/>
      <c r="H28" s="7" t="str">
        <f>+VLOOKUP(F28,Categories!A:B,2,)</f>
        <v>Fuel &amp; Recharge</v>
      </c>
      <c r="I28" s="14">
        <v>0</v>
      </c>
      <c r="J28" s="14">
        <v>25</v>
      </c>
      <c r="K28" s="14">
        <v>0</v>
      </c>
      <c r="L28" s="14">
        <v>0</v>
      </c>
      <c r="M28" s="16">
        <f t="shared" si="8"/>
        <v>25</v>
      </c>
      <c r="N28" s="14">
        <v>0</v>
      </c>
      <c r="O28" s="14">
        <v>0</v>
      </c>
      <c r="P28" s="14">
        <f t="shared" si="9"/>
        <v>0</v>
      </c>
      <c r="Q28" s="7" t="s">
        <v>22</v>
      </c>
      <c r="R28" s="14">
        <f t="shared" si="10"/>
        <v>25</v>
      </c>
      <c r="S28" s="7" t="s">
        <v>50</v>
      </c>
      <c r="T28" s="12">
        <v>50388</v>
      </c>
    </row>
    <row r="29" spans="1:20" ht="19.2" customHeight="1" x14ac:dyDescent="0.3">
      <c r="A29" s="9">
        <v>46072</v>
      </c>
      <c r="B29" t="s">
        <v>97</v>
      </c>
      <c r="C29" s="19">
        <v>1117</v>
      </c>
      <c r="D29" s="21">
        <v>3600269377</v>
      </c>
      <c r="E29" s="12">
        <v>389772</v>
      </c>
      <c r="F29" s="7" t="s">
        <v>43</v>
      </c>
      <c r="G29" s="7"/>
      <c r="H29" s="7" t="s">
        <v>121</v>
      </c>
      <c r="I29" s="14">
        <v>0</v>
      </c>
      <c r="J29" s="14">
        <v>1496.67</v>
      </c>
      <c r="K29" s="14">
        <v>0</v>
      </c>
      <c r="L29" s="14">
        <v>0</v>
      </c>
      <c r="M29" s="16">
        <f t="shared" si="8"/>
        <v>1496.67</v>
      </c>
      <c r="N29" s="14">
        <v>74.83</v>
      </c>
      <c r="O29" s="14">
        <v>104.77</v>
      </c>
      <c r="P29" s="14">
        <f t="shared" si="9"/>
        <v>179.6</v>
      </c>
      <c r="Q29" s="7" t="s">
        <v>22</v>
      </c>
      <c r="R29" s="14">
        <f t="shared" si="10"/>
        <v>1676.27</v>
      </c>
      <c r="S29" s="7" t="s">
        <v>50</v>
      </c>
      <c r="T29" s="12">
        <v>50340</v>
      </c>
    </row>
    <row r="30" spans="1:20" ht="19.2" customHeight="1" x14ac:dyDescent="0.3">
      <c r="A30" s="9">
        <v>46076</v>
      </c>
      <c r="B30" s="7" t="s">
        <v>94</v>
      </c>
      <c r="C30" s="19">
        <v>1122</v>
      </c>
      <c r="D30" s="21">
        <v>3600269601</v>
      </c>
      <c r="E30" s="12">
        <v>702279</v>
      </c>
      <c r="F30" s="7" t="s">
        <v>36</v>
      </c>
      <c r="G30" s="7"/>
      <c r="H30" s="7" t="str">
        <f>+VLOOKUP(F30,Categories!A:B,2,)</f>
        <v>Fuel &amp; Recharge</v>
      </c>
      <c r="I30" s="14">
        <v>0</v>
      </c>
      <c r="J30" s="14">
        <v>25</v>
      </c>
      <c r="K30" s="14">
        <v>0</v>
      </c>
      <c r="L30" s="14">
        <v>0</v>
      </c>
      <c r="M30" s="16">
        <f t="shared" si="8"/>
        <v>25</v>
      </c>
      <c r="N30" s="14">
        <v>0</v>
      </c>
      <c r="O30" s="14">
        <v>0</v>
      </c>
      <c r="P30" s="14">
        <f t="shared" si="9"/>
        <v>0</v>
      </c>
      <c r="Q30" s="7" t="s">
        <v>22</v>
      </c>
      <c r="R30" s="14">
        <f t="shared" si="10"/>
        <v>25</v>
      </c>
      <c r="S30" s="7" t="s">
        <v>50</v>
      </c>
      <c r="T30" s="12">
        <v>50716</v>
      </c>
    </row>
    <row r="31" spans="1:20" ht="19.2" customHeight="1" x14ac:dyDescent="0.3">
      <c r="A31" s="9">
        <v>46077</v>
      </c>
      <c r="B31" t="s">
        <v>97</v>
      </c>
      <c r="C31" s="19">
        <v>1117</v>
      </c>
      <c r="D31" s="19">
        <v>10021143</v>
      </c>
      <c r="E31" s="12">
        <v>10674</v>
      </c>
      <c r="F31" s="7" t="s">
        <v>44</v>
      </c>
      <c r="G31" s="7"/>
      <c r="H31" s="7" t="str">
        <f>+VLOOKUP(F31,Categories!A:B,2,)</f>
        <v>Financial / Admin</v>
      </c>
      <c r="I31" s="14">
        <v>0</v>
      </c>
      <c r="J31" s="14">
        <v>0</v>
      </c>
      <c r="K31" s="14">
        <v>0</v>
      </c>
      <c r="L31" s="14">
        <v>0</v>
      </c>
      <c r="M31" s="14">
        <f t="shared" si="8"/>
        <v>0</v>
      </c>
      <c r="N31" s="14">
        <v>505.96</v>
      </c>
      <c r="O31" s="14">
        <v>0</v>
      </c>
      <c r="P31" s="14">
        <f t="shared" si="9"/>
        <v>505.96</v>
      </c>
      <c r="Q31" s="7" t="s">
        <v>45</v>
      </c>
      <c r="R31" s="14">
        <f t="shared" si="10"/>
        <v>505.96</v>
      </c>
      <c r="S31" s="7" t="s">
        <v>50</v>
      </c>
      <c r="T31" s="12">
        <v>27683</v>
      </c>
    </row>
    <row r="32" spans="1:20" ht="19.2" customHeight="1" x14ac:dyDescent="0.3">
      <c r="A32" s="9">
        <v>46077</v>
      </c>
      <c r="B32" t="s">
        <v>97</v>
      </c>
      <c r="C32" s="19">
        <v>1117</v>
      </c>
      <c r="D32" s="19">
        <v>10021143</v>
      </c>
      <c r="E32" s="12">
        <v>10675</v>
      </c>
      <c r="F32" s="7" t="s">
        <v>44</v>
      </c>
      <c r="G32" s="7"/>
      <c r="H32" s="7" t="str">
        <f>+VLOOKUP(F32,Categories!A:B,2,)</f>
        <v>Financial / Admin</v>
      </c>
      <c r="I32" s="14">
        <v>0</v>
      </c>
      <c r="J32" s="14">
        <v>0</v>
      </c>
      <c r="K32" s="14">
        <v>0</v>
      </c>
      <c r="L32" s="14">
        <v>0</v>
      </c>
      <c r="M32" s="14">
        <f t="shared" si="8"/>
        <v>0</v>
      </c>
      <c r="N32" s="14">
        <v>293.44</v>
      </c>
      <c r="O32" s="14">
        <v>0</v>
      </c>
      <c r="P32" s="14">
        <f t="shared" si="9"/>
        <v>293.44</v>
      </c>
      <c r="Q32" s="7" t="s">
        <v>45</v>
      </c>
      <c r="R32" s="14">
        <f t="shared" si="10"/>
        <v>293.44</v>
      </c>
      <c r="S32" s="7" t="s">
        <v>50</v>
      </c>
      <c r="T32" s="12" t="s">
        <v>112</v>
      </c>
    </row>
    <row r="33" spans="1:24" ht="19.2" customHeight="1" x14ac:dyDescent="0.3">
      <c r="A33" s="9">
        <v>46077</v>
      </c>
      <c r="B33" t="s">
        <v>97</v>
      </c>
      <c r="C33" s="19">
        <v>1117</v>
      </c>
      <c r="D33" s="19">
        <v>10021143</v>
      </c>
      <c r="E33" s="12">
        <v>10685</v>
      </c>
      <c r="F33" s="7" t="s">
        <v>44</v>
      </c>
      <c r="G33" s="7"/>
      <c r="H33" s="7" t="str">
        <f>+VLOOKUP(F33,Categories!A:B,2,)</f>
        <v>Financial / Admin</v>
      </c>
      <c r="I33" s="14">
        <v>0</v>
      </c>
      <c r="J33" s="14">
        <v>0</v>
      </c>
      <c r="K33" s="14">
        <v>0</v>
      </c>
      <c r="L33" s="14">
        <v>0</v>
      </c>
      <c r="M33" s="14">
        <f t="shared" si="8"/>
        <v>0</v>
      </c>
      <c r="N33" s="14">
        <v>124.44</v>
      </c>
      <c r="O33" s="14">
        <v>0</v>
      </c>
      <c r="P33" s="14">
        <f t="shared" si="9"/>
        <v>124.44</v>
      </c>
      <c r="Q33" s="7" t="s">
        <v>45</v>
      </c>
      <c r="R33" s="14">
        <f t="shared" si="10"/>
        <v>124.44</v>
      </c>
      <c r="S33" s="7" t="s">
        <v>50</v>
      </c>
      <c r="T33" s="25">
        <v>58341</v>
      </c>
    </row>
    <row r="34" spans="1:24" ht="19.2" customHeight="1" x14ac:dyDescent="0.3">
      <c r="A34" s="9">
        <v>46035</v>
      </c>
      <c r="B34" s="7" t="s">
        <v>96</v>
      </c>
      <c r="C34" s="19">
        <v>1078</v>
      </c>
      <c r="D34" s="20">
        <v>3600266854</v>
      </c>
      <c r="E34" s="12">
        <v>356803</v>
      </c>
      <c r="F34" s="7" t="s">
        <v>33</v>
      </c>
      <c r="G34" s="7"/>
      <c r="H34" s="7" t="str">
        <f>+VLOOKUP(F34,Categories!A:B,2,)</f>
        <v>Tires &amp; Wheels</v>
      </c>
      <c r="I34" s="14">
        <v>120.37</v>
      </c>
      <c r="J34" s="14">
        <v>6.5</v>
      </c>
      <c r="K34" s="14">
        <v>413.09</v>
      </c>
      <c r="L34" s="14">
        <v>0</v>
      </c>
      <c r="M34" s="16">
        <f t="shared" si="8"/>
        <v>539.96</v>
      </c>
      <c r="N34" s="14">
        <v>27</v>
      </c>
      <c r="O34" s="14">
        <v>0</v>
      </c>
      <c r="P34" s="14">
        <f t="shared" si="9"/>
        <v>27</v>
      </c>
      <c r="Q34" s="7" t="s">
        <v>45</v>
      </c>
      <c r="R34" s="14">
        <f t="shared" si="10"/>
        <v>566.96</v>
      </c>
      <c r="S34" s="7" t="s">
        <v>50</v>
      </c>
      <c r="T34" s="12">
        <v>94817</v>
      </c>
    </row>
    <row r="35" spans="1:24" ht="19.2" customHeight="1" x14ac:dyDescent="0.3">
      <c r="A35" s="9">
        <v>46035</v>
      </c>
      <c r="B35" s="7" t="s">
        <v>94</v>
      </c>
      <c r="C35" s="19">
        <v>1122</v>
      </c>
      <c r="D35" s="20">
        <v>3600266904</v>
      </c>
      <c r="E35" s="12">
        <v>696665</v>
      </c>
      <c r="F35" s="7" t="s">
        <v>35</v>
      </c>
      <c r="G35" s="7"/>
      <c r="H35" s="7" t="str">
        <f>+VLOOKUP(F35,Categories!A:B,2,)</f>
        <v>Inspection (CVI)</v>
      </c>
      <c r="I35" s="14">
        <v>669.95</v>
      </c>
      <c r="J35" s="14">
        <v>0</v>
      </c>
      <c r="K35" s="14">
        <v>0</v>
      </c>
      <c r="L35" s="14">
        <v>0</v>
      </c>
      <c r="M35" s="16">
        <f t="shared" si="8"/>
        <v>669.95</v>
      </c>
      <c r="N35" s="14">
        <v>33.5</v>
      </c>
      <c r="O35" s="14">
        <v>46.9</v>
      </c>
      <c r="P35" s="14">
        <f t="shared" si="9"/>
        <v>80.400000000000006</v>
      </c>
      <c r="Q35" s="7" t="s">
        <v>19</v>
      </c>
      <c r="R35" s="14">
        <f t="shared" si="10"/>
        <v>750.35</v>
      </c>
      <c r="S35" s="7" t="s">
        <v>50</v>
      </c>
      <c r="T35" s="12">
        <v>51361</v>
      </c>
    </row>
    <row r="36" spans="1:24" ht="19.2" customHeight="1" x14ac:dyDescent="0.3">
      <c r="A36" s="9">
        <v>46035</v>
      </c>
      <c r="B36" s="7" t="s">
        <v>94</v>
      </c>
      <c r="C36" s="19">
        <v>1122</v>
      </c>
      <c r="D36" s="20">
        <v>3600266904</v>
      </c>
      <c r="E36" s="12">
        <v>696911</v>
      </c>
      <c r="F36" s="7" t="s">
        <v>35</v>
      </c>
      <c r="G36" s="7"/>
      <c r="H36" s="7" t="str">
        <f>+VLOOKUP(F36,Categories!A:B,2,)</f>
        <v>Inspection (CVI)</v>
      </c>
      <c r="I36" s="14">
        <v>485.95</v>
      </c>
      <c r="J36" s="14">
        <v>0</v>
      </c>
      <c r="K36" s="14">
        <v>0</v>
      </c>
      <c r="L36" s="14">
        <v>0</v>
      </c>
      <c r="M36" s="16">
        <f t="shared" si="8"/>
        <v>485.95</v>
      </c>
      <c r="N36" s="14">
        <v>24.3</v>
      </c>
      <c r="O36" s="14">
        <v>34.020000000000003</v>
      </c>
      <c r="P36" s="14">
        <f t="shared" si="9"/>
        <v>58.320000000000007</v>
      </c>
      <c r="Q36" s="7" t="s">
        <v>19</v>
      </c>
      <c r="R36" s="14">
        <f t="shared" si="10"/>
        <v>544.27</v>
      </c>
      <c r="S36" s="7" t="s">
        <v>50</v>
      </c>
      <c r="T36" s="12">
        <v>51224</v>
      </c>
    </row>
    <row r="37" spans="1:24" ht="19.2" customHeight="1" x14ac:dyDescent="0.3">
      <c r="A37" s="9">
        <v>46035</v>
      </c>
      <c r="B37" s="7" t="s">
        <v>94</v>
      </c>
      <c r="C37" s="19">
        <v>1122</v>
      </c>
      <c r="D37" s="20">
        <v>3600266904</v>
      </c>
      <c r="E37" s="12">
        <v>697579</v>
      </c>
      <c r="F37" s="7" t="s">
        <v>35</v>
      </c>
      <c r="G37" s="7"/>
      <c r="H37" s="7" t="str">
        <f>+VLOOKUP(F37,Categories!A:B,2,)</f>
        <v>Inspection (CVI)</v>
      </c>
      <c r="I37" s="14">
        <v>694.95</v>
      </c>
      <c r="J37" s="14">
        <v>0</v>
      </c>
      <c r="K37" s="14">
        <v>0</v>
      </c>
      <c r="L37" s="14">
        <v>0</v>
      </c>
      <c r="M37" s="16">
        <f t="shared" si="8"/>
        <v>694.95</v>
      </c>
      <c r="N37" s="14">
        <v>34.75</v>
      </c>
      <c r="O37" s="14">
        <v>48.65</v>
      </c>
      <c r="P37" s="14">
        <f t="shared" si="9"/>
        <v>83.4</v>
      </c>
      <c r="Q37" s="7" t="s">
        <v>19</v>
      </c>
      <c r="R37" s="14">
        <f t="shared" si="10"/>
        <v>778.35</v>
      </c>
      <c r="S37" s="7" t="s">
        <v>50</v>
      </c>
      <c r="T37" s="12">
        <v>51104</v>
      </c>
    </row>
    <row r="38" spans="1:24" ht="19.2" customHeight="1" x14ac:dyDescent="0.3">
      <c r="A38" s="9">
        <v>46035</v>
      </c>
      <c r="B38" s="7" t="s">
        <v>94</v>
      </c>
      <c r="C38" s="19">
        <v>1122</v>
      </c>
      <c r="D38" s="20">
        <v>3600266904</v>
      </c>
      <c r="E38" s="12">
        <v>697585</v>
      </c>
      <c r="F38" s="7" t="s">
        <v>35</v>
      </c>
      <c r="G38" s="7"/>
      <c r="H38" s="7" t="str">
        <f>+VLOOKUP(F38,Categories!A:B,2,)</f>
        <v>Inspection (CVI)</v>
      </c>
      <c r="I38" s="14">
        <v>209.95</v>
      </c>
      <c r="J38" s="14">
        <v>0</v>
      </c>
      <c r="K38" s="14">
        <v>0</v>
      </c>
      <c r="L38" s="14">
        <v>0</v>
      </c>
      <c r="M38" s="16">
        <f t="shared" si="8"/>
        <v>209.95</v>
      </c>
      <c r="N38" s="14">
        <v>10.5</v>
      </c>
      <c r="O38" s="14">
        <v>14.7</v>
      </c>
      <c r="P38" s="14">
        <f t="shared" si="9"/>
        <v>25.2</v>
      </c>
      <c r="Q38" s="7" t="s">
        <v>19</v>
      </c>
      <c r="R38" s="14">
        <f t="shared" si="10"/>
        <v>235.15</v>
      </c>
      <c r="S38" s="7" t="s">
        <v>50</v>
      </c>
      <c r="T38" s="12">
        <v>50716</v>
      </c>
    </row>
    <row r="39" spans="1:24" ht="19.2" customHeight="1" x14ac:dyDescent="0.3">
      <c r="A39" s="9">
        <v>46035</v>
      </c>
      <c r="B39" s="7" t="s">
        <v>94</v>
      </c>
      <c r="C39" s="19">
        <v>1122</v>
      </c>
      <c r="D39" s="20">
        <v>3600266904</v>
      </c>
      <c r="E39" s="12">
        <v>697599</v>
      </c>
      <c r="F39" s="7" t="s">
        <v>35</v>
      </c>
      <c r="G39" s="7"/>
      <c r="H39" s="7" t="str">
        <f>+VLOOKUP(F39,Categories!A:B,2,)</f>
        <v>Inspection (CVI)</v>
      </c>
      <c r="I39" s="14">
        <v>209.95</v>
      </c>
      <c r="J39" s="14">
        <v>25</v>
      </c>
      <c r="K39" s="14">
        <v>0</v>
      </c>
      <c r="L39" s="14">
        <v>0</v>
      </c>
      <c r="M39" s="16">
        <f t="shared" si="8"/>
        <v>234.95</v>
      </c>
      <c r="N39" s="14">
        <v>11.75</v>
      </c>
      <c r="O39" s="14">
        <v>16.45</v>
      </c>
      <c r="P39" s="14">
        <f t="shared" si="9"/>
        <v>28.2</v>
      </c>
      <c r="Q39" s="7" t="s">
        <v>19</v>
      </c>
      <c r="R39" s="14">
        <f t="shared" si="10"/>
        <v>263.14999999999998</v>
      </c>
      <c r="S39" s="7" t="s">
        <v>50</v>
      </c>
      <c r="T39" s="12">
        <v>50253</v>
      </c>
    </row>
    <row r="40" spans="1:24" ht="19.2" customHeight="1" x14ac:dyDescent="0.3">
      <c r="A40" s="9">
        <v>46043</v>
      </c>
      <c r="B40" s="7" t="s">
        <v>96</v>
      </c>
      <c r="C40" s="19">
        <v>1078</v>
      </c>
      <c r="D40" s="20">
        <v>3600267134</v>
      </c>
      <c r="E40" s="12">
        <v>356916</v>
      </c>
      <c r="F40" s="7" t="s">
        <v>35</v>
      </c>
      <c r="G40" s="7"/>
      <c r="H40" s="7" t="str">
        <f>+VLOOKUP(F40,Categories!A:B,2,)</f>
        <v>Inspection (CVI)</v>
      </c>
      <c r="I40" s="14">
        <v>515.85</v>
      </c>
      <c r="J40" s="14">
        <v>0</v>
      </c>
      <c r="K40" s="14">
        <v>0</v>
      </c>
      <c r="L40" s="14">
        <v>0</v>
      </c>
      <c r="M40" s="16">
        <f t="shared" si="8"/>
        <v>515.85</v>
      </c>
      <c r="N40" s="14">
        <v>25.79</v>
      </c>
      <c r="O40" s="14">
        <v>0</v>
      </c>
      <c r="P40" s="14">
        <f t="shared" si="9"/>
        <v>25.79</v>
      </c>
      <c r="Q40" s="7" t="s">
        <v>45</v>
      </c>
      <c r="R40" s="14">
        <f t="shared" si="10"/>
        <v>541.64</v>
      </c>
      <c r="S40" s="7" t="s">
        <v>50</v>
      </c>
      <c r="T40" s="12">
        <v>49660</v>
      </c>
    </row>
    <row r="41" spans="1:24" ht="19.2" customHeight="1" x14ac:dyDescent="0.3">
      <c r="A41" s="9">
        <v>46043</v>
      </c>
      <c r="B41" s="7" t="s">
        <v>96</v>
      </c>
      <c r="C41" s="19">
        <v>1078</v>
      </c>
      <c r="D41" s="20">
        <v>3600267134</v>
      </c>
      <c r="E41" s="12">
        <v>356918</v>
      </c>
      <c r="F41" s="7" t="s">
        <v>35</v>
      </c>
      <c r="G41" s="7"/>
      <c r="H41" s="7" t="str">
        <f>+VLOOKUP(F41,Categories!A:B,2,)</f>
        <v>Inspection (CVI)</v>
      </c>
      <c r="I41" s="14">
        <v>515.85</v>
      </c>
      <c r="J41" s="14">
        <v>0</v>
      </c>
      <c r="K41" s="14">
        <v>0</v>
      </c>
      <c r="L41" s="14">
        <v>0</v>
      </c>
      <c r="M41" s="16">
        <f t="shared" si="8"/>
        <v>515.85</v>
      </c>
      <c r="N41" s="14">
        <v>25.79</v>
      </c>
      <c r="O41" s="14">
        <v>0</v>
      </c>
      <c r="P41" s="14">
        <f t="shared" si="9"/>
        <v>25.79</v>
      </c>
      <c r="Q41" s="7" t="s">
        <v>45</v>
      </c>
      <c r="R41" s="14">
        <f t="shared" si="10"/>
        <v>541.64</v>
      </c>
      <c r="S41" s="7" t="s">
        <v>50</v>
      </c>
      <c r="T41" s="12">
        <v>49855</v>
      </c>
    </row>
    <row r="42" spans="1:24" ht="19.2" customHeight="1" x14ac:dyDescent="0.3">
      <c r="A42" s="9">
        <v>46051</v>
      </c>
      <c r="B42" t="s">
        <v>97</v>
      </c>
      <c r="C42" s="19">
        <v>1117</v>
      </c>
      <c r="D42" s="20">
        <v>3600267494</v>
      </c>
      <c r="E42" s="12">
        <v>385164</v>
      </c>
      <c r="F42" s="7" t="s">
        <v>33</v>
      </c>
      <c r="G42" s="7"/>
      <c r="H42" s="7" t="str">
        <f>+VLOOKUP(F42,Categories!A:B,2,)</f>
        <v>Tires &amp; Wheels</v>
      </c>
      <c r="I42" s="14">
        <v>110.98</v>
      </c>
      <c r="J42" s="14">
        <v>13.32</v>
      </c>
      <c r="K42" s="14">
        <v>947.3</v>
      </c>
      <c r="L42" s="14">
        <v>0</v>
      </c>
      <c r="M42" s="16">
        <f t="shared" si="8"/>
        <v>1071.5999999999999</v>
      </c>
      <c r="N42" s="14">
        <v>53.58</v>
      </c>
      <c r="O42" s="14">
        <v>75.010000000000005</v>
      </c>
      <c r="P42" s="14">
        <f t="shared" si="9"/>
        <v>128.59</v>
      </c>
      <c r="Q42" s="7" t="s">
        <v>19</v>
      </c>
      <c r="R42" s="14">
        <f t="shared" si="10"/>
        <v>1200.19</v>
      </c>
      <c r="S42" s="7" t="s">
        <v>50</v>
      </c>
      <c r="T42" s="12">
        <v>50229</v>
      </c>
    </row>
    <row r="43" spans="1:24" ht="19.2" customHeight="1" x14ac:dyDescent="0.3">
      <c r="A43" s="9">
        <v>46051</v>
      </c>
      <c r="B43" t="s">
        <v>97</v>
      </c>
      <c r="C43" s="19">
        <v>1117</v>
      </c>
      <c r="D43" s="20">
        <v>3600267494</v>
      </c>
      <c r="E43" s="12">
        <v>386667</v>
      </c>
      <c r="F43" s="7" t="s">
        <v>33</v>
      </c>
      <c r="G43" s="7"/>
      <c r="H43" s="7" t="str">
        <f>+VLOOKUP(F43,Categories!A:B,2,)</f>
        <v>Tires &amp; Wheels</v>
      </c>
      <c r="I43" s="14">
        <v>369.9</v>
      </c>
      <c r="J43" s="14">
        <v>72.89</v>
      </c>
      <c r="K43" s="14">
        <v>1652.8</v>
      </c>
      <c r="L43" s="14">
        <v>0</v>
      </c>
      <c r="M43" s="16">
        <f t="shared" si="8"/>
        <v>2095.59</v>
      </c>
      <c r="N43" s="14">
        <v>104.78</v>
      </c>
      <c r="O43" s="14">
        <v>146.69</v>
      </c>
      <c r="P43" s="14">
        <f t="shared" si="9"/>
        <v>251.47</v>
      </c>
      <c r="Q43" s="7" t="s">
        <v>19</v>
      </c>
      <c r="R43" s="14">
        <f t="shared" si="10"/>
        <v>2347.06</v>
      </c>
      <c r="S43" s="7" t="s">
        <v>50</v>
      </c>
      <c r="T43" s="12">
        <v>50463</v>
      </c>
    </row>
    <row r="44" spans="1:24" ht="19.2" customHeight="1" x14ac:dyDescent="0.3">
      <c r="A44" s="9">
        <v>46051</v>
      </c>
      <c r="B44" s="7" t="s">
        <v>94</v>
      </c>
      <c r="C44" s="19">
        <v>1122</v>
      </c>
      <c r="D44" s="20">
        <v>3600267496</v>
      </c>
      <c r="E44" s="12">
        <v>700246</v>
      </c>
      <c r="F44" s="7" t="s">
        <v>47</v>
      </c>
      <c r="G44" s="7"/>
      <c r="H44" s="7" t="s">
        <v>70</v>
      </c>
      <c r="I44" s="14">
        <v>0</v>
      </c>
      <c r="J44" s="14">
        <v>382.8</v>
      </c>
      <c r="K44" s="14">
        <v>0</v>
      </c>
      <c r="L44" s="14">
        <v>0</v>
      </c>
      <c r="M44" s="16">
        <f t="shared" si="8"/>
        <v>382.8</v>
      </c>
      <c r="N44" s="14">
        <v>19.14</v>
      </c>
      <c r="O44" s="14">
        <v>0</v>
      </c>
      <c r="P44" s="14">
        <f t="shared" si="9"/>
        <v>19.14</v>
      </c>
      <c r="Q44" s="7" t="s">
        <v>45</v>
      </c>
      <c r="R44" s="14">
        <f t="shared" si="10"/>
        <v>401.94</v>
      </c>
      <c r="S44" s="7" t="s">
        <v>50</v>
      </c>
      <c r="T44" s="12">
        <v>58201</v>
      </c>
    </row>
    <row r="45" spans="1:24" ht="19.2" customHeight="1" x14ac:dyDescent="0.3">
      <c r="A45" s="5">
        <v>46000</v>
      </c>
      <c r="B45" s="7" t="s">
        <v>96</v>
      </c>
      <c r="C45" s="19">
        <v>1078</v>
      </c>
      <c r="D45" s="20">
        <v>3600263906</v>
      </c>
      <c r="E45" s="12">
        <v>353593</v>
      </c>
      <c r="F45" s="6" t="s">
        <v>51</v>
      </c>
      <c r="G45" s="6"/>
      <c r="H45" s="7" t="str">
        <f>+VLOOKUP(F45,Categories!A:B,2,)</f>
        <v>Financial / Admin</v>
      </c>
      <c r="I45" s="1">
        <v>530.11</v>
      </c>
      <c r="J45" s="1"/>
      <c r="K45" s="1"/>
      <c r="L45" s="1"/>
      <c r="M45" s="13">
        <f>J45+I45</f>
        <v>530.11</v>
      </c>
      <c r="N45" s="1"/>
      <c r="O45" s="1"/>
      <c r="P45" s="1">
        <f>+O45+N45</f>
        <v>0</v>
      </c>
      <c r="Q45" t="s">
        <v>52</v>
      </c>
      <c r="R45" s="1">
        <f>P45+M45</f>
        <v>530.11</v>
      </c>
      <c r="S45" s="7" t="s">
        <v>50</v>
      </c>
      <c r="T45" s="19">
        <v>44818</v>
      </c>
    </row>
    <row r="46" spans="1:24" s="7" customFormat="1" ht="19.2" customHeight="1" x14ac:dyDescent="0.3">
      <c r="A46" s="9">
        <v>46010</v>
      </c>
      <c r="B46" s="7" t="s">
        <v>94</v>
      </c>
      <c r="C46" s="19">
        <v>1122</v>
      </c>
      <c r="D46" s="20">
        <v>3600265569</v>
      </c>
      <c r="E46" s="12">
        <v>378502</v>
      </c>
      <c r="F46" s="7" t="s">
        <v>53</v>
      </c>
      <c r="H46" s="7" t="s">
        <v>121</v>
      </c>
      <c r="I46" s="10">
        <v>1174.21</v>
      </c>
      <c r="J46" s="10">
        <v>1804.77</v>
      </c>
      <c r="K46" s="10">
        <v>490.7</v>
      </c>
      <c r="L46" s="10"/>
      <c r="M46" s="11">
        <f>+I46+J46+K46</f>
        <v>3469.68</v>
      </c>
      <c r="N46" s="10">
        <v>173.49</v>
      </c>
      <c r="O46" s="10">
        <v>242.87</v>
      </c>
      <c r="P46" s="10">
        <f t="shared" ref="P46:P52" si="11">+N46+O46</f>
        <v>416.36</v>
      </c>
      <c r="Q46" s="7" t="s">
        <v>19</v>
      </c>
      <c r="R46" s="10">
        <f>+M46+P46</f>
        <v>3886.04</v>
      </c>
      <c r="S46" s="7" t="s">
        <v>27</v>
      </c>
      <c r="T46" s="12" t="s">
        <v>111</v>
      </c>
      <c r="W46"/>
      <c r="X46"/>
    </row>
    <row r="47" spans="1:24" ht="19.2" customHeight="1" x14ac:dyDescent="0.3">
      <c r="A47" s="9">
        <v>46013</v>
      </c>
      <c r="B47" s="7" t="s">
        <v>94</v>
      </c>
      <c r="C47" s="19">
        <v>1122</v>
      </c>
      <c r="D47" s="20">
        <v>3600265692</v>
      </c>
      <c r="E47" s="12">
        <v>695013</v>
      </c>
      <c r="F47" s="7" t="s">
        <v>35</v>
      </c>
      <c r="G47" s="7"/>
      <c r="H47" s="7" t="str">
        <f>+VLOOKUP(F47,Categories!A:B,2,)</f>
        <v>Inspection (CVI)</v>
      </c>
      <c r="I47" s="14">
        <v>492.15</v>
      </c>
      <c r="J47" s="14">
        <v>0</v>
      </c>
      <c r="K47" s="14">
        <v>7</v>
      </c>
      <c r="L47" s="14"/>
      <c r="M47" s="13">
        <f>+I47+J47+K47</f>
        <v>499.15</v>
      </c>
      <c r="N47" s="14">
        <v>24.96</v>
      </c>
      <c r="O47" s="14">
        <v>34.94</v>
      </c>
      <c r="P47" s="15">
        <f t="shared" si="11"/>
        <v>59.9</v>
      </c>
      <c r="Q47" s="7" t="s">
        <v>19</v>
      </c>
      <c r="R47" s="1">
        <f t="shared" ref="R47:R52" si="12">P47+M47</f>
        <v>559.04999999999995</v>
      </c>
      <c r="S47" s="7" t="s">
        <v>50</v>
      </c>
      <c r="T47" s="12">
        <v>50706</v>
      </c>
    </row>
    <row r="48" spans="1:24" ht="19.2" customHeight="1" x14ac:dyDescent="0.3">
      <c r="A48" s="9">
        <v>46013</v>
      </c>
      <c r="B48" s="7" t="s">
        <v>94</v>
      </c>
      <c r="C48" s="19">
        <v>1122</v>
      </c>
      <c r="D48" s="20">
        <v>3600265692</v>
      </c>
      <c r="E48" s="12">
        <v>695021</v>
      </c>
      <c r="F48" s="7" t="s">
        <v>35</v>
      </c>
      <c r="G48" s="7"/>
      <c r="H48" s="7" t="str">
        <f>+VLOOKUP(F48,Categories!A:B,2,)</f>
        <v>Inspection (CVI)</v>
      </c>
      <c r="I48" s="14">
        <v>633.15</v>
      </c>
      <c r="J48" s="14">
        <v>0</v>
      </c>
      <c r="K48" s="14">
        <v>0</v>
      </c>
      <c r="L48" s="14"/>
      <c r="M48" s="16">
        <f>+I48+J48+K48</f>
        <v>633.15</v>
      </c>
      <c r="N48" s="14">
        <v>31.66</v>
      </c>
      <c r="O48" s="14">
        <v>44.32</v>
      </c>
      <c r="P48" s="15">
        <f t="shared" si="11"/>
        <v>75.98</v>
      </c>
      <c r="Q48" s="7" t="s">
        <v>19</v>
      </c>
      <c r="R48" s="14">
        <f t="shared" si="12"/>
        <v>709.13</v>
      </c>
      <c r="S48" s="7" t="s">
        <v>50</v>
      </c>
      <c r="T48" s="12">
        <v>50388</v>
      </c>
    </row>
    <row r="49" spans="1:20" ht="19.2" customHeight="1" x14ac:dyDescent="0.3">
      <c r="A49" s="9">
        <v>46013</v>
      </c>
      <c r="B49" s="7" t="s">
        <v>94</v>
      </c>
      <c r="C49" s="19">
        <v>1122</v>
      </c>
      <c r="D49" s="20">
        <v>3600265692</v>
      </c>
      <c r="E49" s="12">
        <v>695437</v>
      </c>
      <c r="F49" s="7" t="s">
        <v>35</v>
      </c>
      <c r="G49" s="7"/>
      <c r="H49" s="7" t="str">
        <f>+VLOOKUP(F49,Categories!A:B,2,)</f>
        <v>Inspection (CVI)</v>
      </c>
      <c r="I49" s="14">
        <v>449.15</v>
      </c>
      <c r="J49" s="14">
        <v>0</v>
      </c>
      <c r="K49" s="14">
        <v>0</v>
      </c>
      <c r="L49" s="14"/>
      <c r="M49" s="16">
        <f>+I49+J49+K49</f>
        <v>449.15</v>
      </c>
      <c r="N49" s="14">
        <v>22.46</v>
      </c>
      <c r="O49" s="14">
        <v>31.44</v>
      </c>
      <c r="P49" s="15">
        <f t="shared" si="11"/>
        <v>53.900000000000006</v>
      </c>
      <c r="Q49" s="7" t="s">
        <v>19</v>
      </c>
      <c r="R49" s="14">
        <f t="shared" si="12"/>
        <v>503.04999999999995</v>
      </c>
      <c r="S49" s="7" t="s">
        <v>50</v>
      </c>
      <c r="T49" s="12">
        <v>51242</v>
      </c>
    </row>
    <row r="50" spans="1:20" ht="19.2" customHeight="1" x14ac:dyDescent="0.3">
      <c r="A50" s="9">
        <v>46013</v>
      </c>
      <c r="B50" s="7" t="s">
        <v>94</v>
      </c>
      <c r="C50" s="19">
        <v>1122</v>
      </c>
      <c r="D50" s="20">
        <v>3600265692</v>
      </c>
      <c r="E50" s="12">
        <v>695824</v>
      </c>
      <c r="F50" s="7" t="s">
        <v>35</v>
      </c>
      <c r="G50" s="7"/>
      <c r="H50" s="7" t="str">
        <f>+VLOOKUP(F50,Categories!A:B,2,)</f>
        <v>Inspection (CVI)</v>
      </c>
      <c r="I50" s="14">
        <v>209.95</v>
      </c>
      <c r="J50" s="14">
        <v>320</v>
      </c>
      <c r="K50" s="14">
        <v>0</v>
      </c>
      <c r="L50" s="14"/>
      <c r="M50" s="16">
        <f>+I50+J50+K50</f>
        <v>529.95000000000005</v>
      </c>
      <c r="N50" s="14">
        <v>26.5</v>
      </c>
      <c r="O50" s="14">
        <v>37.1</v>
      </c>
      <c r="P50" s="15">
        <f t="shared" si="11"/>
        <v>63.6</v>
      </c>
      <c r="Q50" s="7" t="s">
        <v>19</v>
      </c>
      <c r="R50" s="14">
        <f t="shared" si="12"/>
        <v>593.55000000000007</v>
      </c>
      <c r="S50" s="7" t="s">
        <v>50</v>
      </c>
      <c r="T50" s="12">
        <v>50816</v>
      </c>
    </row>
    <row r="51" spans="1:20" ht="19.2" customHeight="1" x14ac:dyDescent="0.3">
      <c r="A51" s="9">
        <v>46013</v>
      </c>
      <c r="B51" s="7" t="s">
        <v>94</v>
      </c>
      <c r="C51" s="19">
        <v>1122</v>
      </c>
      <c r="D51" s="20">
        <v>3600265692</v>
      </c>
      <c r="E51" s="12">
        <v>696231</v>
      </c>
      <c r="F51" s="7" t="s">
        <v>35</v>
      </c>
      <c r="G51" s="7"/>
      <c r="H51" s="7" t="str">
        <f>+VLOOKUP(F51,Categories!A:B,2,)</f>
        <v>Inspection (CVI)</v>
      </c>
      <c r="I51" s="14">
        <v>209.95</v>
      </c>
      <c r="J51" s="14">
        <v>0</v>
      </c>
      <c r="K51" s="14">
        <v>0</v>
      </c>
      <c r="L51" s="14"/>
      <c r="M51" s="16">
        <f>J51+I51</f>
        <v>209.95</v>
      </c>
      <c r="N51" s="14">
        <v>10.5</v>
      </c>
      <c r="O51" s="14">
        <v>14.7</v>
      </c>
      <c r="P51" s="15">
        <f t="shared" si="11"/>
        <v>25.2</v>
      </c>
      <c r="Q51" s="7" t="s">
        <v>19</v>
      </c>
      <c r="R51" s="14">
        <f t="shared" si="12"/>
        <v>235.14999999999998</v>
      </c>
      <c r="S51" s="7" t="s">
        <v>50</v>
      </c>
      <c r="T51" s="12">
        <v>50334</v>
      </c>
    </row>
    <row r="52" spans="1:20" ht="19.2" customHeight="1" x14ac:dyDescent="0.3">
      <c r="A52" s="9">
        <v>46013</v>
      </c>
      <c r="B52" s="7" t="s">
        <v>94</v>
      </c>
      <c r="C52" s="19">
        <v>1122</v>
      </c>
      <c r="D52" s="20">
        <v>3600265692</v>
      </c>
      <c r="E52" s="12">
        <v>696232</v>
      </c>
      <c r="F52" s="7" t="s">
        <v>35</v>
      </c>
      <c r="G52" s="7"/>
      <c r="H52" s="7" t="str">
        <f>+VLOOKUP(F52,Categories!A:B,2,)</f>
        <v>Inspection (CVI)</v>
      </c>
      <c r="I52" s="14">
        <v>669.95</v>
      </c>
      <c r="J52" s="14">
        <v>0</v>
      </c>
      <c r="K52" s="14">
        <v>0</v>
      </c>
      <c r="L52" s="14"/>
      <c r="M52" s="16">
        <f>J52+I52</f>
        <v>669.95</v>
      </c>
      <c r="N52" s="14">
        <v>33.5</v>
      </c>
      <c r="O52" s="14">
        <v>46.9</v>
      </c>
      <c r="P52" s="15">
        <f t="shared" si="11"/>
        <v>80.400000000000006</v>
      </c>
      <c r="Q52" s="7" t="s">
        <v>19</v>
      </c>
      <c r="R52" s="14">
        <f t="shared" si="12"/>
        <v>750.35</v>
      </c>
      <c r="S52" s="7" t="s">
        <v>50</v>
      </c>
      <c r="T52" s="12">
        <v>50998</v>
      </c>
    </row>
    <row r="53" spans="1:20" ht="19.2" customHeight="1" x14ac:dyDescent="0.3">
      <c r="A53" s="9">
        <v>46013</v>
      </c>
      <c r="B53" s="7" t="s">
        <v>94</v>
      </c>
      <c r="C53" s="19">
        <v>1122</v>
      </c>
      <c r="D53" s="20">
        <v>3600265693</v>
      </c>
      <c r="E53" s="12">
        <v>378947</v>
      </c>
      <c r="F53" s="7" t="s">
        <v>54</v>
      </c>
      <c r="G53" s="7"/>
      <c r="H53" s="7" t="s">
        <v>121</v>
      </c>
      <c r="I53" s="14">
        <v>718.2</v>
      </c>
      <c r="J53" s="14">
        <v>1641.94</v>
      </c>
      <c r="K53" s="14">
        <v>7.72</v>
      </c>
      <c r="L53" s="14"/>
      <c r="M53" s="13">
        <v>2367.86</v>
      </c>
      <c r="N53" s="14">
        <v>118.39</v>
      </c>
      <c r="O53" s="14">
        <v>165.75</v>
      </c>
      <c r="P53" s="15">
        <v>284.14</v>
      </c>
      <c r="Q53" s="7" t="s">
        <v>19</v>
      </c>
      <c r="R53" s="1">
        <v>2652</v>
      </c>
      <c r="S53" s="7" t="s">
        <v>50</v>
      </c>
      <c r="T53" s="12">
        <v>50816</v>
      </c>
    </row>
    <row r="54" spans="1:20" ht="19.2" customHeight="1" x14ac:dyDescent="0.3">
      <c r="A54" s="9">
        <v>46013</v>
      </c>
      <c r="B54" s="7" t="s">
        <v>94</v>
      </c>
      <c r="C54" s="19">
        <v>1122</v>
      </c>
      <c r="D54" s="20">
        <v>3600265703</v>
      </c>
      <c r="E54" s="12">
        <v>378746</v>
      </c>
      <c r="F54" s="7" t="s">
        <v>120</v>
      </c>
      <c r="G54" s="7"/>
      <c r="H54" s="7" t="s">
        <v>121</v>
      </c>
      <c r="I54" s="14">
        <v>4027.77</v>
      </c>
      <c r="J54" s="14">
        <v>1054.8499999999999</v>
      </c>
      <c r="K54" s="14"/>
      <c r="L54" s="14">
        <v>4938.41</v>
      </c>
      <c r="M54" s="16">
        <v>144.21000000000004</v>
      </c>
      <c r="N54" s="14">
        <v>254.13</v>
      </c>
      <c r="O54" s="14">
        <v>355.79</v>
      </c>
      <c r="P54" s="14">
        <v>609.92000000000007</v>
      </c>
      <c r="Q54" s="7" t="s">
        <v>19</v>
      </c>
      <c r="R54" s="14">
        <v>754.13000000000011</v>
      </c>
      <c r="S54" s="7" t="s">
        <v>50</v>
      </c>
      <c r="T54" s="12">
        <v>50388</v>
      </c>
    </row>
    <row r="55" spans="1:20" ht="19.2" customHeight="1" x14ac:dyDescent="0.3">
      <c r="A55" s="9">
        <v>46013</v>
      </c>
      <c r="B55" s="7" t="s">
        <v>94</v>
      </c>
      <c r="C55" s="19">
        <v>1122</v>
      </c>
      <c r="D55" s="20">
        <v>3600265703</v>
      </c>
      <c r="E55" s="12">
        <v>378817</v>
      </c>
      <c r="F55" s="7" t="s">
        <v>55</v>
      </c>
      <c r="G55" s="7"/>
      <c r="H55" s="7" t="str">
        <f>+VLOOKUP(F55,Categories!A:B,2,)</f>
        <v>Financial / Admin</v>
      </c>
      <c r="I55" s="14" t="s">
        <v>56</v>
      </c>
      <c r="J55" s="14">
        <v>-23</v>
      </c>
      <c r="K55" s="14"/>
      <c r="L55" s="14"/>
      <c r="M55" s="16">
        <v>-23</v>
      </c>
      <c r="N55" s="14">
        <v>0</v>
      </c>
      <c r="O55" s="14">
        <v>0</v>
      </c>
      <c r="P55" s="14">
        <v>0</v>
      </c>
      <c r="Q55" s="7" t="s">
        <v>0</v>
      </c>
      <c r="R55" s="14">
        <v>-23</v>
      </c>
      <c r="S55" s="7" t="s">
        <v>50</v>
      </c>
      <c r="T55" s="12">
        <v>50388</v>
      </c>
    </row>
    <row r="56" spans="1:20" ht="19.2" customHeight="1" x14ac:dyDescent="0.3">
      <c r="A56" s="9">
        <v>46014</v>
      </c>
      <c r="B56" t="s">
        <v>97</v>
      </c>
      <c r="C56" s="19">
        <v>1117</v>
      </c>
      <c r="D56" s="20">
        <v>3600265714</v>
      </c>
      <c r="E56" s="12">
        <v>386103</v>
      </c>
      <c r="F56" s="7" t="s">
        <v>57</v>
      </c>
      <c r="G56" s="7"/>
      <c r="H56" s="7" t="s">
        <v>121</v>
      </c>
      <c r="I56" s="14">
        <v>184.95</v>
      </c>
      <c r="J56" s="14">
        <v>22.19</v>
      </c>
      <c r="K56" s="14"/>
      <c r="L56" s="14"/>
      <c r="M56" s="16">
        <v>207.14</v>
      </c>
      <c r="N56" s="14">
        <v>10.356999999999999</v>
      </c>
      <c r="O56" s="14">
        <v>14.4998</v>
      </c>
      <c r="P56" s="14">
        <v>24.8568</v>
      </c>
      <c r="Q56" s="7" t="s">
        <v>19</v>
      </c>
      <c r="R56" s="14">
        <v>232</v>
      </c>
      <c r="S56" s="7" t="s">
        <v>50</v>
      </c>
      <c r="T56" s="12">
        <v>96921</v>
      </c>
    </row>
    <row r="57" spans="1:20" ht="19.2" customHeight="1" x14ac:dyDescent="0.3">
      <c r="A57" s="5">
        <v>45952</v>
      </c>
      <c r="B57" s="7" t="s">
        <v>94</v>
      </c>
      <c r="C57" s="19">
        <v>1122</v>
      </c>
      <c r="D57" s="20">
        <v>3600260261</v>
      </c>
      <c r="E57" s="12">
        <v>684408</v>
      </c>
      <c r="F57" s="6" t="s">
        <v>58</v>
      </c>
      <c r="G57" s="6"/>
      <c r="H57" s="7" t="str">
        <f>+VLOOKUP(F57,Categories!A:B,2,)</f>
        <v>Tires &amp; Wheels</v>
      </c>
      <c r="I57" s="1">
        <v>1775.08</v>
      </c>
      <c r="J57" s="1">
        <v>26</v>
      </c>
      <c r="M57" s="13">
        <v>1801.08</v>
      </c>
      <c r="N57" s="1">
        <v>90.05</v>
      </c>
      <c r="O57" s="1">
        <v>126.08</v>
      </c>
      <c r="P57" s="1">
        <v>216.13</v>
      </c>
      <c r="Q57" t="s">
        <v>19</v>
      </c>
      <c r="R57" s="1">
        <v>2017.21</v>
      </c>
      <c r="S57" s="7" t="s">
        <v>50</v>
      </c>
      <c r="T57" s="19">
        <v>27970</v>
      </c>
    </row>
    <row r="58" spans="1:20" ht="19.2" customHeight="1" x14ac:dyDescent="0.3">
      <c r="A58" s="5">
        <v>45952</v>
      </c>
      <c r="B58" s="7" t="s">
        <v>94</v>
      </c>
      <c r="C58" s="19">
        <v>1122</v>
      </c>
      <c r="D58" s="20">
        <v>3600260261</v>
      </c>
      <c r="E58" s="12">
        <v>688284</v>
      </c>
      <c r="F58" s="6" t="s">
        <v>59</v>
      </c>
      <c r="G58" s="6"/>
      <c r="H58" s="7" t="str">
        <f>+VLOOKUP(F58,Categories!A:B,2,)</f>
        <v>Fuel &amp; Recharge</v>
      </c>
      <c r="I58" s="1">
        <v>382.8</v>
      </c>
      <c r="J58" s="1">
        <v>25</v>
      </c>
      <c r="M58" s="13">
        <v>407.8</v>
      </c>
      <c r="N58" s="1">
        <v>20.39</v>
      </c>
      <c r="O58" s="1">
        <v>28.55</v>
      </c>
      <c r="P58" s="1">
        <v>48.94</v>
      </c>
      <c r="Q58" t="s">
        <v>19</v>
      </c>
      <c r="R58" s="1">
        <v>456.74</v>
      </c>
      <c r="S58" s="7" t="s">
        <v>50</v>
      </c>
      <c r="T58" s="19">
        <v>58201</v>
      </c>
    </row>
    <row r="59" spans="1:20" ht="19.2" customHeight="1" x14ac:dyDescent="0.3">
      <c r="A59" s="5">
        <v>45952</v>
      </c>
      <c r="B59" s="7" t="s">
        <v>94</v>
      </c>
      <c r="C59" s="19">
        <v>1122</v>
      </c>
      <c r="D59" s="19" t="s">
        <v>61</v>
      </c>
      <c r="E59" s="12">
        <v>377642</v>
      </c>
      <c r="F59" s="6" t="s">
        <v>60</v>
      </c>
      <c r="G59" s="6"/>
      <c r="H59" s="7" t="s">
        <v>121</v>
      </c>
      <c r="I59" s="1">
        <v>3272.15</v>
      </c>
      <c r="J59" s="1">
        <v>517.94000000000005</v>
      </c>
      <c r="K59" s="1"/>
      <c r="L59" s="1"/>
      <c r="M59" s="13">
        <v>3790.09</v>
      </c>
      <c r="N59" s="1">
        <v>189.51</v>
      </c>
      <c r="O59" s="1">
        <v>265.31</v>
      </c>
      <c r="P59" s="1">
        <v>454.82</v>
      </c>
      <c r="Q59" t="s">
        <v>19</v>
      </c>
      <c r="R59" s="2">
        <v>2689.5099999999998</v>
      </c>
      <c r="S59" s="7" t="s">
        <v>50</v>
      </c>
      <c r="T59" s="19">
        <v>50816</v>
      </c>
    </row>
    <row r="60" spans="1:20" ht="19.2" customHeight="1" x14ac:dyDescent="0.3">
      <c r="A60" s="5">
        <v>45953</v>
      </c>
      <c r="B60" s="7" t="s">
        <v>94</v>
      </c>
      <c r="C60" s="19">
        <v>1122</v>
      </c>
      <c r="D60" s="20">
        <v>3600260302</v>
      </c>
      <c r="E60" s="19">
        <v>687801</v>
      </c>
      <c r="F60" t="s">
        <v>62</v>
      </c>
      <c r="H60" s="7" t="str">
        <f>+VLOOKUP(F60,Categories!A:B,2,)</f>
        <v>Fuel &amp; Recharge</v>
      </c>
      <c r="I60" s="3">
        <v>75</v>
      </c>
      <c r="J60" s="3">
        <v>0</v>
      </c>
      <c r="M60" s="3">
        <v>75</v>
      </c>
      <c r="N60" s="3">
        <v>0</v>
      </c>
      <c r="O60" s="3">
        <v>0</v>
      </c>
      <c r="P60" s="3">
        <v>0</v>
      </c>
      <c r="Q60" t="s">
        <v>63</v>
      </c>
      <c r="R60" s="3">
        <v>75</v>
      </c>
      <c r="S60" s="7" t="s">
        <v>50</v>
      </c>
      <c r="T60" s="19">
        <v>94807</v>
      </c>
    </row>
    <row r="61" spans="1:20" ht="19.2" customHeight="1" x14ac:dyDescent="0.3">
      <c r="A61" s="5">
        <v>45953</v>
      </c>
      <c r="B61" s="7" t="s">
        <v>96</v>
      </c>
      <c r="C61" s="19">
        <v>1078</v>
      </c>
      <c r="D61" s="20">
        <v>3600260303</v>
      </c>
      <c r="E61" s="19">
        <v>347951</v>
      </c>
      <c r="F61" t="s">
        <v>64</v>
      </c>
      <c r="H61" s="7" t="s">
        <v>121</v>
      </c>
      <c r="I61" s="3">
        <v>1109.82</v>
      </c>
      <c r="J61" s="3">
        <v>0</v>
      </c>
      <c r="M61" s="3">
        <v>1109.82</v>
      </c>
      <c r="N61" s="3">
        <v>55.49</v>
      </c>
      <c r="O61" s="3">
        <v>0</v>
      </c>
      <c r="P61" s="3">
        <v>55.49</v>
      </c>
      <c r="Q61" t="s">
        <v>45</v>
      </c>
      <c r="R61" s="3">
        <v>1165.31</v>
      </c>
      <c r="S61" s="7" t="s">
        <v>50</v>
      </c>
      <c r="T61" s="19">
        <v>49855</v>
      </c>
    </row>
    <row r="62" spans="1:20" ht="19.2" customHeight="1" x14ac:dyDescent="0.3">
      <c r="A62" s="5">
        <v>45953</v>
      </c>
      <c r="B62" s="7" t="s">
        <v>94</v>
      </c>
      <c r="C62" s="19">
        <v>1122</v>
      </c>
      <c r="D62" s="20">
        <v>3600260337</v>
      </c>
      <c r="E62" s="19">
        <v>690239</v>
      </c>
      <c r="F62" t="s">
        <v>65</v>
      </c>
      <c r="H62" s="7" t="str">
        <f>+VLOOKUP(F62,Categories!A:B,2,)</f>
        <v>Fuel &amp; Recharge</v>
      </c>
      <c r="I62" s="3">
        <v>25</v>
      </c>
      <c r="J62" s="3">
        <v>0</v>
      </c>
      <c r="M62" s="3">
        <v>25</v>
      </c>
      <c r="N62" s="3">
        <v>0</v>
      </c>
      <c r="O62" s="3">
        <v>0</v>
      </c>
      <c r="P62" s="3">
        <v>0</v>
      </c>
      <c r="Q62" t="s">
        <v>63</v>
      </c>
      <c r="R62" s="3">
        <v>25</v>
      </c>
      <c r="S62" s="7" t="s">
        <v>50</v>
      </c>
      <c r="T62" s="19">
        <v>50388</v>
      </c>
    </row>
    <row r="63" spans="1:20" ht="19.2" customHeight="1" x14ac:dyDescent="0.3">
      <c r="A63" s="5">
        <v>45953</v>
      </c>
      <c r="B63" s="7" t="s">
        <v>94</v>
      </c>
      <c r="C63" s="19">
        <v>1122</v>
      </c>
      <c r="D63" s="20">
        <v>3600260337</v>
      </c>
      <c r="E63" s="19">
        <v>689922</v>
      </c>
      <c r="F63" t="s">
        <v>66</v>
      </c>
      <c r="H63" s="7" t="str">
        <f>+VLOOKUP(F63,Categories!A:B,2,)</f>
        <v>Fuel &amp; Recharge</v>
      </c>
      <c r="I63" s="3">
        <v>45</v>
      </c>
      <c r="M63" s="3">
        <v>45</v>
      </c>
      <c r="P63" s="3">
        <v>0</v>
      </c>
      <c r="Q63" t="s">
        <v>63</v>
      </c>
      <c r="R63" s="3">
        <v>45</v>
      </c>
      <c r="S63" s="7" t="s">
        <v>50</v>
      </c>
      <c r="T63" s="19">
        <v>51224</v>
      </c>
    </row>
    <row r="64" spans="1:20" ht="19.2" customHeight="1" x14ac:dyDescent="0.3">
      <c r="A64" s="5">
        <v>45882</v>
      </c>
      <c r="B64" s="7" t="s">
        <v>96</v>
      </c>
      <c r="C64" s="19">
        <v>1078</v>
      </c>
      <c r="D64" s="20">
        <v>3600255097</v>
      </c>
      <c r="E64" s="19">
        <v>321925</v>
      </c>
      <c r="F64" t="s">
        <v>67</v>
      </c>
      <c r="H64" s="7" t="str">
        <f>+VLOOKUP(F64,Categories!A:B,2,)</f>
        <v>Hardware &amp; OTA</v>
      </c>
      <c r="I64">
        <v>171.95</v>
      </c>
      <c r="J64"/>
      <c r="K64"/>
      <c r="L64"/>
      <c r="M64">
        <v>171.95</v>
      </c>
      <c r="N64">
        <v>8.6</v>
      </c>
      <c r="O64">
        <v>12.04</v>
      </c>
      <c r="P64">
        <v>20.64</v>
      </c>
      <c r="Q64" t="s">
        <v>19</v>
      </c>
      <c r="R64">
        <v>192.58999999999997</v>
      </c>
      <c r="S64" t="s">
        <v>27</v>
      </c>
      <c r="T64" s="19">
        <v>11764</v>
      </c>
    </row>
    <row r="65" spans="1:20" ht="19.2" customHeight="1" x14ac:dyDescent="0.3">
      <c r="A65" s="5">
        <v>45882</v>
      </c>
      <c r="B65" s="7" t="s">
        <v>96</v>
      </c>
      <c r="C65" s="19">
        <v>1078</v>
      </c>
      <c r="D65" s="20">
        <v>3600255097</v>
      </c>
      <c r="E65" s="19">
        <v>337792</v>
      </c>
      <c r="F65" t="s">
        <v>68</v>
      </c>
      <c r="H65" s="7" t="str">
        <f>+VLOOKUP(F65,Categories!A:B,2,)</f>
        <v>Financial / Admin</v>
      </c>
      <c r="I65">
        <v>132.28</v>
      </c>
      <c r="J65"/>
      <c r="K65"/>
      <c r="L65"/>
      <c r="M65">
        <v>132.28</v>
      </c>
      <c r="N65">
        <v>0</v>
      </c>
      <c r="O65">
        <v>0</v>
      </c>
      <c r="P65">
        <v>0</v>
      </c>
      <c r="Q65" t="s">
        <v>63</v>
      </c>
      <c r="R65">
        <v>132.28</v>
      </c>
      <c r="S65" t="s">
        <v>27</v>
      </c>
      <c r="T65" s="19">
        <v>11764</v>
      </c>
    </row>
    <row r="66" spans="1:20" ht="19.2" customHeight="1" x14ac:dyDescent="0.3">
      <c r="A66" s="5">
        <v>45882</v>
      </c>
      <c r="B66" s="7" t="s">
        <v>95</v>
      </c>
      <c r="C66" s="19">
        <v>1088</v>
      </c>
      <c r="D66" s="20">
        <v>3600255098</v>
      </c>
      <c r="E66" s="19">
        <v>531588</v>
      </c>
      <c r="F66" t="s">
        <v>69</v>
      </c>
      <c r="H66" s="7" t="str">
        <f>+VLOOKUP(F66,Categories!A:B,2,)</f>
        <v>Hardware &amp; OTA</v>
      </c>
      <c r="I66" s="3">
        <v>165</v>
      </c>
      <c r="J66" s="3">
        <v>10.99</v>
      </c>
      <c r="M66" s="3">
        <v>175.99</v>
      </c>
      <c r="N66" s="3">
        <v>8.8000000000000007</v>
      </c>
      <c r="P66" s="3">
        <v>8.8000000000000007</v>
      </c>
      <c r="Q66" t="s">
        <v>7</v>
      </c>
      <c r="R66" s="3">
        <v>184.79000000000002</v>
      </c>
      <c r="S66" s="7" t="s">
        <v>50</v>
      </c>
      <c r="T66" s="19" t="s">
        <v>109</v>
      </c>
    </row>
    <row r="67" spans="1:20" ht="19.2" customHeight="1" x14ac:dyDescent="0.3">
      <c r="A67" s="5">
        <v>45882</v>
      </c>
      <c r="B67" s="7" t="s">
        <v>95</v>
      </c>
      <c r="C67" s="19">
        <v>1088</v>
      </c>
      <c r="D67" s="20">
        <v>3600255098</v>
      </c>
      <c r="E67" s="19">
        <v>531587</v>
      </c>
      <c r="F67" t="s">
        <v>69</v>
      </c>
      <c r="H67" s="7" t="str">
        <f>+VLOOKUP(F67,Categories!A:B,2,)</f>
        <v>Hardware &amp; OTA</v>
      </c>
      <c r="I67" s="3">
        <v>165</v>
      </c>
      <c r="J67" s="3">
        <v>10.99</v>
      </c>
      <c r="M67" s="3">
        <v>175.99</v>
      </c>
      <c r="N67" s="3">
        <v>8.8000000000000007</v>
      </c>
      <c r="O67" s="3">
        <v>0</v>
      </c>
      <c r="P67" s="3">
        <v>8.8000000000000007</v>
      </c>
      <c r="Q67" t="s">
        <v>7</v>
      </c>
      <c r="R67" s="3">
        <v>184.79000000000002</v>
      </c>
      <c r="S67" s="7" t="s">
        <v>50</v>
      </c>
      <c r="T67" s="19" t="s">
        <v>108</v>
      </c>
    </row>
    <row r="68" spans="1:20" ht="19.2" customHeight="1" x14ac:dyDescent="0.3">
      <c r="A68" s="5">
        <v>45882</v>
      </c>
      <c r="B68" s="7" t="s">
        <v>95</v>
      </c>
      <c r="C68" s="19">
        <v>1088</v>
      </c>
      <c r="D68" s="20">
        <v>3600255098</v>
      </c>
      <c r="E68" s="19">
        <v>528857</v>
      </c>
      <c r="F68" t="s">
        <v>70</v>
      </c>
      <c r="H68" s="7" t="s">
        <v>70</v>
      </c>
      <c r="I68" s="3">
        <v>89.9</v>
      </c>
      <c r="J68" s="3">
        <v>8.99</v>
      </c>
      <c r="M68" s="3">
        <v>98.89</v>
      </c>
      <c r="N68" s="3">
        <v>4.95</v>
      </c>
      <c r="O68" s="3">
        <v>6.92</v>
      </c>
      <c r="P68" s="3">
        <v>11.870000000000001</v>
      </c>
      <c r="Q68" t="s">
        <v>19</v>
      </c>
      <c r="R68" s="3">
        <v>110.76</v>
      </c>
      <c r="S68" s="7" t="s">
        <v>50</v>
      </c>
      <c r="T68" s="19">
        <v>23415</v>
      </c>
    </row>
    <row r="69" spans="1:20" ht="19.2" customHeight="1" x14ac:dyDescent="0.3">
      <c r="A69" s="5">
        <v>45882</v>
      </c>
      <c r="B69" s="7" t="s">
        <v>95</v>
      </c>
      <c r="C69" s="19">
        <v>1088</v>
      </c>
      <c r="D69" s="20">
        <v>3600255098</v>
      </c>
      <c r="E69" s="19">
        <v>528846</v>
      </c>
      <c r="F69" t="s">
        <v>71</v>
      </c>
      <c r="H69" s="7" t="str">
        <f>+VLOOKUP(F69,Categories!A:B,2,)</f>
        <v>Tires &amp; Wheels</v>
      </c>
      <c r="I69" s="3">
        <v>49.5</v>
      </c>
      <c r="J69" s="3">
        <v>4.95</v>
      </c>
      <c r="M69" s="3">
        <v>54.45</v>
      </c>
      <c r="N69" s="3">
        <v>2.73</v>
      </c>
      <c r="O69" s="3">
        <v>3.82</v>
      </c>
      <c r="P69" s="3">
        <v>6.55</v>
      </c>
      <c r="Q69" t="s">
        <v>19</v>
      </c>
      <c r="R69" s="3">
        <v>61</v>
      </c>
      <c r="S69" s="7" t="s">
        <v>50</v>
      </c>
      <c r="T69" s="19" t="s">
        <v>109</v>
      </c>
    </row>
    <row r="70" spans="1:20" ht="19.2" customHeight="1" x14ac:dyDescent="0.3">
      <c r="A70" s="5">
        <v>45882</v>
      </c>
      <c r="B70" t="s">
        <v>72</v>
      </c>
      <c r="D70" s="20">
        <v>3600255096</v>
      </c>
      <c r="E70" s="19">
        <v>394414</v>
      </c>
      <c r="F70" t="s">
        <v>73</v>
      </c>
      <c r="H70" s="7" t="str">
        <f>+VLOOKUP(F70,Categories!A:B,2,)</f>
        <v>Tires &amp; Wheels</v>
      </c>
      <c r="I70">
        <v>562</v>
      </c>
      <c r="J70">
        <v>471.87</v>
      </c>
      <c r="K70"/>
      <c r="L70"/>
      <c r="M70">
        <v>1033.8699999999999</v>
      </c>
      <c r="N70">
        <v>51.69</v>
      </c>
      <c r="O70">
        <v>72.37</v>
      </c>
      <c r="P70">
        <v>124.06</v>
      </c>
      <c r="Q70" t="s">
        <v>19</v>
      </c>
      <c r="R70">
        <v>1157.9299999999998</v>
      </c>
      <c r="S70" t="s">
        <v>27</v>
      </c>
      <c r="T70" s="19">
        <v>11764</v>
      </c>
    </row>
    <row r="71" spans="1:20" ht="19.2" customHeight="1" x14ac:dyDescent="0.3">
      <c r="A71" s="5">
        <v>45862</v>
      </c>
      <c r="B71" s="7" t="s">
        <v>94</v>
      </c>
      <c r="C71" s="19">
        <v>1122</v>
      </c>
      <c r="D71" s="20">
        <v>3600254068</v>
      </c>
      <c r="E71" s="19">
        <v>679480</v>
      </c>
      <c r="F71" t="s">
        <v>75</v>
      </c>
      <c r="H71" s="7" t="s">
        <v>121</v>
      </c>
      <c r="I71">
        <v>55.2</v>
      </c>
      <c r="J71">
        <v>280.49</v>
      </c>
      <c r="K71"/>
      <c r="L71"/>
      <c r="M71">
        <v>335.69</v>
      </c>
      <c r="N71">
        <v>16.78</v>
      </c>
      <c r="O71">
        <v>23.49</v>
      </c>
      <c r="P71">
        <v>40.269999999999996</v>
      </c>
      <c r="Q71" t="s">
        <v>7</v>
      </c>
      <c r="R71">
        <v>375.96</v>
      </c>
      <c r="S71" t="s">
        <v>76</v>
      </c>
      <c r="T71" s="19">
        <v>11789</v>
      </c>
    </row>
    <row r="72" spans="1:20" ht="19.2" customHeight="1" x14ac:dyDescent="0.3">
      <c r="A72" s="5">
        <v>45820</v>
      </c>
      <c r="B72" t="s">
        <v>97</v>
      </c>
      <c r="C72" s="19">
        <v>1117</v>
      </c>
      <c r="D72" s="20">
        <v>3600250023</v>
      </c>
      <c r="E72" s="19">
        <v>374012</v>
      </c>
      <c r="F72" t="s">
        <v>77</v>
      </c>
      <c r="H72" s="7" t="s">
        <v>121</v>
      </c>
      <c r="I72" s="3">
        <v>462.43</v>
      </c>
      <c r="J72" s="3">
        <v>28.07</v>
      </c>
      <c r="M72" s="4">
        <v>490.5</v>
      </c>
      <c r="N72" s="3">
        <v>24.53</v>
      </c>
      <c r="O72" s="3">
        <v>34.340000000000003</v>
      </c>
      <c r="P72" s="3">
        <v>58.870000000000005</v>
      </c>
      <c r="Q72" t="s">
        <v>7</v>
      </c>
      <c r="R72" s="3">
        <v>549.37</v>
      </c>
      <c r="S72" s="7" t="s">
        <v>50</v>
      </c>
      <c r="T72" s="25">
        <v>58341</v>
      </c>
    </row>
    <row r="73" spans="1:20" ht="19.2" customHeight="1" x14ac:dyDescent="0.3">
      <c r="A73" s="5">
        <v>45820</v>
      </c>
      <c r="B73" s="7" t="s">
        <v>94</v>
      </c>
      <c r="C73" s="19">
        <v>1122</v>
      </c>
      <c r="D73" s="20">
        <v>3600250022</v>
      </c>
      <c r="E73" s="19">
        <v>675038</v>
      </c>
      <c r="F73" t="s">
        <v>78</v>
      </c>
      <c r="H73" s="7" t="str">
        <f>+VLOOKUP(F73,Categories!A:B,2,)</f>
        <v>Fuel &amp; Recharge</v>
      </c>
      <c r="I73" s="3">
        <v>33.75</v>
      </c>
      <c r="J73" s="3">
        <v>25</v>
      </c>
      <c r="M73" s="4">
        <v>58.75</v>
      </c>
      <c r="N73" s="3">
        <v>2.94</v>
      </c>
      <c r="O73" s="3">
        <v>4.1100000000000003</v>
      </c>
      <c r="P73" s="3">
        <v>7.0500000000000007</v>
      </c>
      <c r="Q73" t="s">
        <v>7</v>
      </c>
      <c r="R73" s="3">
        <v>65.8</v>
      </c>
      <c r="S73" t="s">
        <v>76</v>
      </c>
      <c r="T73" s="25">
        <v>11786</v>
      </c>
    </row>
    <row r="74" spans="1:20" ht="19.2" customHeight="1" x14ac:dyDescent="0.3">
      <c r="A74" s="5">
        <v>45820</v>
      </c>
      <c r="B74" t="s">
        <v>97</v>
      </c>
      <c r="C74" s="19">
        <v>1117</v>
      </c>
      <c r="D74" s="20">
        <v>3600250067</v>
      </c>
      <c r="E74" s="19">
        <v>372562</v>
      </c>
      <c r="F74" t="s">
        <v>77</v>
      </c>
      <c r="H74" s="7" t="s">
        <v>121</v>
      </c>
      <c r="I74" s="3">
        <v>215.94</v>
      </c>
      <c r="J74" s="3">
        <v>320.42</v>
      </c>
      <c r="M74" s="4">
        <v>536.36</v>
      </c>
      <c r="N74" s="3">
        <v>26.82</v>
      </c>
      <c r="O74" s="3">
        <v>37.549999999999997</v>
      </c>
      <c r="P74" s="3">
        <v>64.37</v>
      </c>
      <c r="Q74" t="s">
        <v>7</v>
      </c>
      <c r="R74" s="3">
        <v>600.73</v>
      </c>
      <c r="S74" t="s">
        <v>27</v>
      </c>
      <c r="T74" s="12" t="s">
        <v>41</v>
      </c>
    </row>
    <row r="75" spans="1:20" ht="19.2" customHeight="1" x14ac:dyDescent="0.3">
      <c r="A75" s="5">
        <v>45834</v>
      </c>
      <c r="B75" t="s">
        <v>97</v>
      </c>
      <c r="C75" s="19">
        <v>1117</v>
      </c>
      <c r="D75" s="19">
        <v>3600251984</v>
      </c>
      <c r="E75" s="19">
        <v>371588</v>
      </c>
      <c r="F75" s="6" t="s">
        <v>75</v>
      </c>
      <c r="G75" s="6"/>
      <c r="H75" s="7" t="s">
        <v>121</v>
      </c>
      <c r="I75" s="1">
        <v>300.47000000000003</v>
      </c>
      <c r="J75" s="1">
        <v>8.64</v>
      </c>
      <c r="K75" s="1"/>
      <c r="L75" s="1"/>
      <c r="M75" s="13">
        <v>309.11</v>
      </c>
      <c r="N75" s="1">
        <v>15.46</v>
      </c>
      <c r="O75" s="1">
        <v>21.64</v>
      </c>
      <c r="P75" s="1">
        <v>37.1</v>
      </c>
      <c r="Q75" t="s">
        <v>19</v>
      </c>
      <c r="R75" s="1">
        <v>346.21000000000004</v>
      </c>
      <c r="S75" s="7" t="s">
        <v>50</v>
      </c>
      <c r="T75" s="19">
        <v>58341</v>
      </c>
    </row>
    <row r="76" spans="1:20" ht="19.2" customHeight="1" x14ac:dyDescent="0.3">
      <c r="A76" s="5">
        <v>45834</v>
      </c>
      <c r="B76" t="s">
        <v>97</v>
      </c>
      <c r="C76" s="19">
        <v>1117</v>
      </c>
      <c r="D76" s="19">
        <v>3600251984</v>
      </c>
      <c r="E76" s="19">
        <v>374753</v>
      </c>
      <c r="F76" s="6" t="s">
        <v>75</v>
      </c>
      <c r="G76" s="6"/>
      <c r="H76" s="7" t="s">
        <v>121</v>
      </c>
      <c r="I76" s="1">
        <v>426.09000000000003</v>
      </c>
      <c r="J76" s="1">
        <v>15.12</v>
      </c>
      <c r="K76" s="1"/>
      <c r="L76" s="1"/>
      <c r="M76" s="13">
        <v>441.21000000000004</v>
      </c>
      <c r="N76" s="1">
        <v>22.06</v>
      </c>
      <c r="O76" s="1">
        <v>30.88</v>
      </c>
      <c r="P76" s="1">
        <v>52.94</v>
      </c>
      <c r="Q76" t="s">
        <v>19</v>
      </c>
      <c r="R76" s="1">
        <v>494.15000000000003</v>
      </c>
      <c r="S76" t="s">
        <v>27</v>
      </c>
      <c r="T76" s="19">
        <v>11766</v>
      </c>
    </row>
    <row r="77" spans="1:20" ht="19.2" customHeight="1" x14ac:dyDescent="0.3">
      <c r="A77" s="5">
        <v>45834</v>
      </c>
      <c r="B77" t="s">
        <v>97</v>
      </c>
      <c r="C77" s="19">
        <v>1117</v>
      </c>
      <c r="D77" s="19">
        <v>3600251984</v>
      </c>
      <c r="E77" s="19">
        <v>374990</v>
      </c>
      <c r="F77" t="s">
        <v>79</v>
      </c>
      <c r="H77" s="7" t="str">
        <f>+VLOOKUP(F77,Categories!A:B,2,)</f>
        <v>Tires &amp; Wheels</v>
      </c>
      <c r="I77" s="3">
        <v>442.97999999999996</v>
      </c>
      <c r="J77" s="3">
        <v>12.49</v>
      </c>
      <c r="M77" s="4">
        <v>455.46999999999997</v>
      </c>
      <c r="N77" s="3">
        <v>22.77</v>
      </c>
      <c r="O77" s="3">
        <v>31.88</v>
      </c>
      <c r="P77" s="3">
        <v>54.65</v>
      </c>
      <c r="Q77" t="s">
        <v>19</v>
      </c>
      <c r="R77" s="3">
        <v>510.11999999999995</v>
      </c>
      <c r="S77" s="7" t="s">
        <v>50</v>
      </c>
      <c r="T77" s="25">
        <v>58341</v>
      </c>
    </row>
    <row r="78" spans="1:20" ht="19.2" customHeight="1" x14ac:dyDescent="0.3">
      <c r="A78" s="5">
        <v>45792</v>
      </c>
      <c r="B78" s="7" t="s">
        <v>96</v>
      </c>
      <c r="C78" s="19">
        <v>1078</v>
      </c>
      <c r="D78" s="20">
        <v>3600248581</v>
      </c>
      <c r="E78" s="19">
        <v>329031</v>
      </c>
      <c r="F78" t="s">
        <v>80</v>
      </c>
      <c r="H78" s="7" t="str">
        <f>+VLOOKUP(F78,Categories!A:B,2,)</f>
        <v>Financial / Admin</v>
      </c>
      <c r="I78" s="3">
        <v>362.89</v>
      </c>
      <c r="M78" s="3">
        <v>362.89</v>
      </c>
      <c r="P78" s="3">
        <v>0</v>
      </c>
      <c r="Q78" t="s">
        <v>45</v>
      </c>
      <c r="R78" s="3">
        <v>362.89</v>
      </c>
      <c r="S78" s="7" t="s">
        <v>50</v>
      </c>
      <c r="T78" s="19">
        <v>29083</v>
      </c>
    </row>
    <row r="79" spans="1:20" ht="19.2" customHeight="1" x14ac:dyDescent="0.3">
      <c r="A79" s="5">
        <v>45792</v>
      </c>
      <c r="B79" s="7" t="s">
        <v>96</v>
      </c>
      <c r="C79" s="19">
        <v>1078</v>
      </c>
      <c r="D79" s="20">
        <v>3600248581</v>
      </c>
      <c r="E79" s="19">
        <v>329032</v>
      </c>
      <c r="F79" t="s">
        <v>81</v>
      </c>
      <c r="H79" s="7" t="str">
        <f>+VLOOKUP(F79,Categories!A:B,2,)</f>
        <v>Financial / Admin</v>
      </c>
      <c r="I79" s="3">
        <v>2500</v>
      </c>
      <c r="M79" s="3">
        <v>2500</v>
      </c>
      <c r="P79" s="3">
        <v>0</v>
      </c>
      <c r="Q79" t="s">
        <v>63</v>
      </c>
      <c r="R79" s="3">
        <v>2500</v>
      </c>
      <c r="S79" s="7" t="s">
        <v>50</v>
      </c>
      <c r="T79" s="19">
        <v>29083</v>
      </c>
    </row>
    <row r="80" spans="1:20" ht="19.2" customHeight="1" x14ac:dyDescent="0.3">
      <c r="A80" s="5">
        <v>45804</v>
      </c>
      <c r="B80" s="7" t="s">
        <v>94</v>
      </c>
      <c r="C80" s="19">
        <v>1122</v>
      </c>
      <c r="D80" s="20">
        <v>3600248798</v>
      </c>
      <c r="E80" s="19">
        <v>670330</v>
      </c>
      <c r="F80" t="s">
        <v>118</v>
      </c>
      <c r="H80" s="7" t="str">
        <f>+VLOOKUP(F80,Categories!A:B,2,)</f>
        <v>Hardware &amp; OTA</v>
      </c>
      <c r="I80">
        <v>184</v>
      </c>
      <c r="J80">
        <v>10.99</v>
      </c>
      <c r="K80"/>
      <c r="L80"/>
      <c r="M80">
        <f>+I80+J80</f>
        <v>194.99</v>
      </c>
      <c r="N80">
        <f>+M80*0.05</f>
        <v>9.7495000000000012</v>
      </c>
      <c r="O80">
        <f>+M80*0.06</f>
        <v>11.699400000000001</v>
      </c>
      <c r="P80">
        <f>+O80+N80</f>
        <v>21.448900000000002</v>
      </c>
      <c r="Q80" t="s">
        <v>19</v>
      </c>
      <c r="R80">
        <f>+P80+M80</f>
        <v>216.43890000000002</v>
      </c>
      <c r="S80" t="s">
        <v>27</v>
      </c>
      <c r="T80" s="19" t="s">
        <v>110</v>
      </c>
    </row>
    <row r="81" spans="1:20" ht="19.2" customHeight="1" x14ac:dyDescent="0.3">
      <c r="A81" s="5">
        <v>45804</v>
      </c>
      <c r="B81" s="7" t="s">
        <v>94</v>
      </c>
      <c r="C81" s="19">
        <v>1122</v>
      </c>
      <c r="D81" s="20">
        <v>3600248798</v>
      </c>
      <c r="E81" s="19">
        <v>670330</v>
      </c>
      <c r="F81" t="s">
        <v>117</v>
      </c>
      <c r="H81" s="7" t="s">
        <v>121</v>
      </c>
      <c r="I81">
        <f>239.2-I80</f>
        <v>55.199999999999989</v>
      </c>
      <c r="K81">
        <f>285.97-J80</f>
        <v>274.98</v>
      </c>
      <c r="L81"/>
      <c r="M81">
        <f>+I81+K81</f>
        <v>330.18</v>
      </c>
      <c r="N81">
        <f>+M81*0.05</f>
        <v>16.509</v>
      </c>
      <c r="O81">
        <f>+M81*0.07</f>
        <v>23.112600000000004</v>
      </c>
      <c r="P81">
        <f>+N81+O81</f>
        <v>39.621600000000001</v>
      </c>
      <c r="Q81" t="s">
        <v>19</v>
      </c>
      <c r="R81">
        <f>+M81+P81</f>
        <v>369.80160000000001</v>
      </c>
      <c r="S81" t="s">
        <v>27</v>
      </c>
      <c r="T81" s="19" t="s">
        <v>110</v>
      </c>
    </row>
    <row r="82" spans="1:20" ht="18.600000000000001" customHeight="1" x14ac:dyDescent="0.3">
      <c r="A82" s="5">
        <v>45804</v>
      </c>
      <c r="B82" s="7" t="s">
        <v>95</v>
      </c>
      <c r="C82" s="19">
        <v>1088</v>
      </c>
      <c r="D82" s="20">
        <v>3600248799</v>
      </c>
      <c r="E82" s="19">
        <v>530806</v>
      </c>
      <c r="F82" t="s">
        <v>83</v>
      </c>
      <c r="H82" s="7" t="str">
        <f>+VLOOKUP(F82,Categories!A:B,2,)</f>
        <v>Tires &amp; Wheels</v>
      </c>
      <c r="I82" s="3">
        <v>916.06</v>
      </c>
      <c r="J82" s="3">
        <v>13</v>
      </c>
      <c r="M82" s="3">
        <v>929.06</v>
      </c>
      <c r="N82" s="3">
        <v>46.45</v>
      </c>
      <c r="O82" s="3">
        <v>65.03</v>
      </c>
      <c r="P82" s="3">
        <v>111.48</v>
      </c>
      <c r="Q82" t="s">
        <v>19</v>
      </c>
      <c r="R82" s="3">
        <v>1040.54</v>
      </c>
      <c r="S82" s="7" t="s">
        <v>50</v>
      </c>
      <c r="T82" s="19">
        <v>27333</v>
      </c>
    </row>
    <row r="83" spans="1:20" ht="19.2" customHeight="1" x14ac:dyDescent="0.3">
      <c r="A83" s="5">
        <v>45750</v>
      </c>
      <c r="B83" s="7" t="s">
        <v>94</v>
      </c>
      <c r="C83" s="19">
        <v>1122</v>
      </c>
      <c r="D83" s="20">
        <v>3600246344</v>
      </c>
      <c r="E83" s="19">
        <v>667667</v>
      </c>
      <c r="F83" t="s">
        <v>69</v>
      </c>
      <c r="H83" s="7" t="str">
        <f>+VLOOKUP(F83,Categories!A:B,2,)</f>
        <v>Hardware &amp; OTA</v>
      </c>
      <c r="I83">
        <v>184</v>
      </c>
      <c r="J83">
        <v>10.99</v>
      </c>
      <c r="K83"/>
      <c r="L83"/>
      <c r="M83">
        <v>194.99</v>
      </c>
      <c r="N83">
        <v>9.7495000000000012</v>
      </c>
      <c r="O83">
        <v>13.649300000000002</v>
      </c>
      <c r="P83">
        <v>23.398800000000001</v>
      </c>
      <c r="Q83" t="s">
        <v>19</v>
      </c>
      <c r="R83">
        <v>218.3888</v>
      </c>
      <c r="S83" t="s">
        <v>27</v>
      </c>
      <c r="T83" s="19">
        <v>11741</v>
      </c>
    </row>
    <row r="84" spans="1:20" ht="19.2" customHeight="1" x14ac:dyDescent="0.3">
      <c r="A84" s="5">
        <v>45750</v>
      </c>
      <c r="B84" t="s">
        <v>97</v>
      </c>
      <c r="C84" s="19">
        <v>1117</v>
      </c>
      <c r="D84" s="20">
        <v>3600246345</v>
      </c>
      <c r="E84" s="19">
        <v>369007</v>
      </c>
      <c r="F84" t="s">
        <v>69</v>
      </c>
      <c r="H84" s="7" t="str">
        <f>+VLOOKUP(F84,Categories!A:B,2,)</f>
        <v>Hardware &amp; OTA</v>
      </c>
      <c r="I84">
        <v>209.94</v>
      </c>
      <c r="J84">
        <v>37.69</v>
      </c>
      <c r="K84"/>
      <c r="L84"/>
      <c r="M84">
        <v>247.63</v>
      </c>
      <c r="N84">
        <v>12.381500000000001</v>
      </c>
      <c r="O84">
        <v>17.334100000000003</v>
      </c>
      <c r="P84">
        <v>29.715600000000002</v>
      </c>
      <c r="Q84" t="s">
        <v>19</v>
      </c>
      <c r="R84">
        <v>277.34559999999999</v>
      </c>
      <c r="S84" t="s">
        <v>27</v>
      </c>
      <c r="T84" s="19">
        <v>11724</v>
      </c>
    </row>
    <row r="85" spans="1:20" ht="19.2" customHeight="1" x14ac:dyDescent="0.3">
      <c r="A85" s="5">
        <v>45750</v>
      </c>
      <c r="B85" t="s">
        <v>97</v>
      </c>
      <c r="C85" s="19">
        <v>1117</v>
      </c>
      <c r="D85" s="20">
        <v>3600246345</v>
      </c>
      <c r="E85" s="19">
        <v>369006</v>
      </c>
      <c r="F85" t="s">
        <v>69</v>
      </c>
      <c r="H85" s="7" t="str">
        <f>+VLOOKUP(F85,Categories!A:B,2,)</f>
        <v>Hardware &amp; OTA</v>
      </c>
      <c r="I85">
        <v>209.94</v>
      </c>
      <c r="J85">
        <v>39.07</v>
      </c>
      <c r="K85"/>
      <c r="L85"/>
      <c r="M85">
        <v>249.01</v>
      </c>
      <c r="N85">
        <v>12.4505</v>
      </c>
      <c r="O85">
        <v>17.430700000000002</v>
      </c>
      <c r="P85">
        <v>29.8812</v>
      </c>
      <c r="Q85" t="s">
        <v>19</v>
      </c>
      <c r="R85">
        <v>278.89119999999997</v>
      </c>
      <c r="S85" t="s">
        <v>27</v>
      </c>
      <c r="T85" s="19">
        <v>11714</v>
      </c>
    </row>
    <row r="86" spans="1:20" ht="19.2" customHeight="1" x14ac:dyDescent="0.3">
      <c r="A86" s="5">
        <v>45750</v>
      </c>
      <c r="B86" t="s">
        <v>97</v>
      </c>
      <c r="C86" s="19">
        <v>1117</v>
      </c>
      <c r="D86" s="20">
        <v>3600246345</v>
      </c>
      <c r="E86" s="19">
        <v>369005</v>
      </c>
      <c r="F86" t="s">
        <v>69</v>
      </c>
      <c r="H86" s="7" t="str">
        <f>+VLOOKUP(F86,Categories!A:B,2,)</f>
        <v>Hardware &amp; OTA</v>
      </c>
      <c r="I86">
        <v>209.94</v>
      </c>
      <c r="J86">
        <v>37.69</v>
      </c>
      <c r="K86"/>
      <c r="L86"/>
      <c r="M86">
        <v>247.63</v>
      </c>
      <c r="N86">
        <v>12.381500000000001</v>
      </c>
      <c r="O86">
        <v>17.334100000000003</v>
      </c>
      <c r="P86">
        <v>29.715600000000002</v>
      </c>
      <c r="Q86" t="s">
        <v>19</v>
      </c>
      <c r="R86">
        <v>277.34559999999999</v>
      </c>
      <c r="S86" t="s">
        <v>27</v>
      </c>
      <c r="T86" s="19">
        <v>11705</v>
      </c>
    </row>
    <row r="87" spans="1:20" ht="19.2" customHeight="1" x14ac:dyDescent="0.3">
      <c r="A87" s="5">
        <v>45750</v>
      </c>
      <c r="B87" s="7" t="s">
        <v>96</v>
      </c>
      <c r="C87" s="19">
        <v>1078</v>
      </c>
      <c r="D87" s="20">
        <v>3600246346</v>
      </c>
      <c r="E87" s="19">
        <v>323328</v>
      </c>
      <c r="F87" t="s">
        <v>69</v>
      </c>
      <c r="H87" s="7" t="str">
        <f>+VLOOKUP(F87,Categories!A:B,2,)</f>
        <v>Hardware &amp; OTA</v>
      </c>
      <c r="I87" s="3">
        <v>171.95</v>
      </c>
      <c r="M87" s="4">
        <v>171.95</v>
      </c>
      <c r="N87" s="3">
        <v>8.5975000000000001</v>
      </c>
      <c r="O87" s="3">
        <v>12.0365</v>
      </c>
      <c r="P87" s="3">
        <v>20.634</v>
      </c>
      <c r="Q87" t="s">
        <v>19</v>
      </c>
      <c r="R87" s="3">
        <v>192.584</v>
      </c>
      <c r="S87" t="s">
        <v>27</v>
      </c>
      <c r="T87" s="26">
        <v>11691</v>
      </c>
    </row>
    <row r="88" spans="1:20" ht="19.2" customHeight="1" x14ac:dyDescent="0.3">
      <c r="A88" s="5">
        <v>45756</v>
      </c>
      <c r="B88" s="7" t="s">
        <v>96</v>
      </c>
      <c r="C88" s="19">
        <v>1078</v>
      </c>
      <c r="D88" s="20">
        <v>3600246787</v>
      </c>
      <c r="E88" s="19">
        <v>320536</v>
      </c>
      <c r="F88" t="s">
        <v>84</v>
      </c>
      <c r="H88" s="7" t="str">
        <f>+VLOOKUP(F88,Categories!A:B,2,)</f>
        <v>Hardware &amp; OTA</v>
      </c>
      <c r="I88" s="3">
        <v>171.95</v>
      </c>
      <c r="M88" s="4">
        <v>171.95</v>
      </c>
      <c r="N88" s="3">
        <v>8.5975000000000001</v>
      </c>
      <c r="O88" s="3">
        <v>12.0365</v>
      </c>
      <c r="P88" s="3">
        <v>20.634</v>
      </c>
      <c r="Q88" t="s">
        <v>19</v>
      </c>
      <c r="R88" s="3">
        <v>192.584</v>
      </c>
      <c r="S88" s="7" t="s">
        <v>50</v>
      </c>
      <c r="T88" s="26">
        <v>58141</v>
      </c>
    </row>
    <row r="89" spans="1:20" ht="19.2" customHeight="1" x14ac:dyDescent="0.3">
      <c r="A89" s="5">
        <v>45756</v>
      </c>
      <c r="B89" s="7" t="s">
        <v>96</v>
      </c>
      <c r="C89" s="19">
        <v>1078</v>
      </c>
      <c r="D89" s="20">
        <v>3600246787</v>
      </c>
      <c r="E89" s="19">
        <v>320538</v>
      </c>
      <c r="F89" t="s">
        <v>84</v>
      </c>
      <c r="H89" s="7" t="str">
        <f>+VLOOKUP(F89,Categories!A:B,2,)</f>
        <v>Hardware &amp; OTA</v>
      </c>
      <c r="I89" s="3">
        <v>171.95</v>
      </c>
      <c r="M89" s="4">
        <v>171.95</v>
      </c>
      <c r="N89" s="3">
        <v>8.5975000000000001</v>
      </c>
      <c r="O89" s="3">
        <v>12.0365</v>
      </c>
      <c r="P89" s="3">
        <v>20.634</v>
      </c>
      <c r="Q89" t="s">
        <v>19</v>
      </c>
      <c r="R89" s="3">
        <v>192.584</v>
      </c>
      <c r="S89" s="7" t="s">
        <v>50</v>
      </c>
      <c r="T89" s="26">
        <v>58188</v>
      </c>
    </row>
    <row r="90" spans="1:20" ht="19.2" customHeight="1" x14ac:dyDescent="0.3">
      <c r="A90" s="5">
        <v>45756</v>
      </c>
      <c r="B90" s="7" t="s">
        <v>96</v>
      </c>
      <c r="C90" s="19">
        <v>1078</v>
      </c>
      <c r="D90" s="20">
        <v>3600246787</v>
      </c>
      <c r="E90" s="19">
        <v>320534</v>
      </c>
      <c r="F90" t="s">
        <v>84</v>
      </c>
      <c r="H90" s="7" t="str">
        <f>+VLOOKUP(F90,Categories!A:B,2,)</f>
        <v>Hardware &amp; OTA</v>
      </c>
      <c r="I90" s="3">
        <v>171.95</v>
      </c>
      <c r="M90" s="4">
        <v>171.95</v>
      </c>
      <c r="N90" s="3">
        <v>8.5975000000000001</v>
      </c>
      <c r="O90" s="3">
        <v>12.0365</v>
      </c>
      <c r="P90" s="3">
        <v>20.634</v>
      </c>
      <c r="Q90" t="s">
        <v>19</v>
      </c>
      <c r="R90" s="3">
        <v>192.584</v>
      </c>
      <c r="S90" s="7" t="s">
        <v>50</v>
      </c>
      <c r="T90" s="26">
        <v>94733</v>
      </c>
    </row>
    <row r="91" spans="1:20" ht="19.2" customHeight="1" x14ac:dyDescent="0.3">
      <c r="A91" s="5">
        <v>45756</v>
      </c>
      <c r="B91" s="7" t="s">
        <v>96</v>
      </c>
      <c r="C91" s="19">
        <v>1078</v>
      </c>
      <c r="D91" s="20">
        <v>3600246787</v>
      </c>
      <c r="E91" s="19">
        <v>320533</v>
      </c>
      <c r="F91" t="s">
        <v>84</v>
      </c>
      <c r="H91" s="7" t="str">
        <f>+VLOOKUP(F91,Categories!A:B,2,)</f>
        <v>Hardware &amp; OTA</v>
      </c>
      <c r="I91" s="3">
        <v>171.95</v>
      </c>
      <c r="M91" s="4">
        <v>171.95</v>
      </c>
      <c r="N91" s="3">
        <v>8.5975000000000001</v>
      </c>
      <c r="O91" s="3">
        <v>12.0365</v>
      </c>
      <c r="P91" s="3">
        <v>20.634</v>
      </c>
      <c r="Q91" t="s">
        <v>19</v>
      </c>
      <c r="R91" s="3">
        <v>192.584</v>
      </c>
      <c r="S91" s="7" t="s">
        <v>50</v>
      </c>
      <c r="T91" s="26">
        <v>94722</v>
      </c>
    </row>
    <row r="92" spans="1:20" ht="19.2" customHeight="1" x14ac:dyDescent="0.3">
      <c r="A92" s="5">
        <v>45762</v>
      </c>
      <c r="B92" s="7" t="s">
        <v>96</v>
      </c>
      <c r="C92" s="19">
        <v>1078</v>
      </c>
      <c r="D92" s="20">
        <v>3600246872</v>
      </c>
      <c r="E92" s="19">
        <v>321923</v>
      </c>
      <c r="F92" t="s">
        <v>84</v>
      </c>
      <c r="H92" s="7" t="str">
        <f>+VLOOKUP(F92,Categories!A:B,2,)</f>
        <v>Hardware &amp; OTA</v>
      </c>
      <c r="I92">
        <v>171.95</v>
      </c>
      <c r="J92"/>
      <c r="K92"/>
      <c r="L92"/>
      <c r="M92">
        <v>171.95</v>
      </c>
      <c r="N92">
        <v>8.5975000000000001</v>
      </c>
      <c r="O92">
        <v>12.0365</v>
      </c>
      <c r="P92">
        <v>20.634</v>
      </c>
      <c r="Q92" t="s">
        <v>19</v>
      </c>
      <c r="R92">
        <v>192.584</v>
      </c>
      <c r="S92" t="s">
        <v>27</v>
      </c>
      <c r="T92" s="19">
        <v>11754</v>
      </c>
    </row>
    <row r="93" spans="1:20" ht="19.2" customHeight="1" x14ac:dyDescent="0.3">
      <c r="A93" s="5">
        <v>45772</v>
      </c>
      <c r="B93" t="s">
        <v>97</v>
      </c>
      <c r="C93" s="19">
        <v>1117</v>
      </c>
      <c r="D93" s="20">
        <v>3600247173</v>
      </c>
      <c r="E93" s="19">
        <v>370445</v>
      </c>
      <c r="F93" t="s">
        <v>35</v>
      </c>
      <c r="H93" s="7" t="str">
        <f>+VLOOKUP(F93,Categories!A:B,2,)</f>
        <v>Inspection (CVI)</v>
      </c>
      <c r="I93" s="3">
        <v>215.94</v>
      </c>
      <c r="J93" s="3">
        <v>25.91</v>
      </c>
      <c r="M93" s="3">
        <v>241.85</v>
      </c>
      <c r="N93" s="3">
        <v>12.092500000000001</v>
      </c>
      <c r="O93" s="3">
        <v>16.929500000000001</v>
      </c>
      <c r="P93" s="3">
        <v>29.022000000000002</v>
      </c>
      <c r="Q93" t="s">
        <v>19</v>
      </c>
      <c r="R93" s="3">
        <v>270.87200000000001</v>
      </c>
      <c r="S93" s="7" t="s">
        <v>50</v>
      </c>
      <c r="T93" s="19">
        <v>58341</v>
      </c>
    </row>
    <row r="94" spans="1:20" ht="19.2" customHeight="1" x14ac:dyDescent="0.3">
      <c r="A94" s="5">
        <v>45772</v>
      </c>
      <c r="B94" t="s">
        <v>97</v>
      </c>
      <c r="C94" s="19">
        <v>1117</v>
      </c>
      <c r="D94" s="20">
        <v>3600247173</v>
      </c>
      <c r="E94" s="19">
        <v>370389</v>
      </c>
      <c r="F94" t="s">
        <v>35</v>
      </c>
      <c r="H94" s="7" t="str">
        <f>+VLOOKUP(F94,Categories!A:B,2,)</f>
        <v>Inspection (CVI)</v>
      </c>
      <c r="I94" s="3">
        <v>215.94</v>
      </c>
      <c r="J94" s="3">
        <v>25.91</v>
      </c>
      <c r="M94" s="3">
        <v>241.85</v>
      </c>
      <c r="N94" s="3">
        <v>12.092500000000001</v>
      </c>
      <c r="O94" s="3">
        <v>16.929500000000001</v>
      </c>
      <c r="P94" s="3">
        <v>29.022000000000002</v>
      </c>
      <c r="Q94" t="s">
        <v>19</v>
      </c>
      <c r="R94" s="3">
        <v>270.87200000000001</v>
      </c>
      <c r="S94" s="7" t="s">
        <v>50</v>
      </c>
      <c r="T94" s="19">
        <v>94891</v>
      </c>
    </row>
    <row r="95" spans="1:20" ht="19.2" customHeight="1" x14ac:dyDescent="0.3">
      <c r="A95" s="5">
        <v>45777</v>
      </c>
      <c r="B95" t="s">
        <v>97</v>
      </c>
      <c r="C95" s="19">
        <v>1117</v>
      </c>
      <c r="D95" s="20">
        <v>3600247572</v>
      </c>
      <c r="E95" s="19">
        <v>3600246885</v>
      </c>
      <c r="F95" t="s">
        <v>86</v>
      </c>
      <c r="H95" s="7" t="str">
        <f>+VLOOKUP(F95,Categories!A:B,2,)</f>
        <v>Financial / Admin</v>
      </c>
      <c r="I95" s="3">
        <v>1000</v>
      </c>
      <c r="M95" s="3">
        <v>1000</v>
      </c>
      <c r="N95" s="3">
        <v>50</v>
      </c>
      <c r="P95" s="3">
        <v>50</v>
      </c>
      <c r="Q95" t="s">
        <v>7</v>
      </c>
      <c r="R95" s="3">
        <v>1050</v>
      </c>
      <c r="S95" s="7" t="s">
        <v>50</v>
      </c>
      <c r="T95" s="19">
        <v>58341</v>
      </c>
    </row>
    <row r="96" spans="1:20" ht="19.2" customHeight="1" x14ac:dyDescent="0.3">
      <c r="A96" s="5">
        <v>45729</v>
      </c>
      <c r="B96" t="s">
        <v>97</v>
      </c>
      <c r="C96" s="19">
        <v>1117</v>
      </c>
      <c r="D96" s="20">
        <v>3600243525</v>
      </c>
      <c r="E96" s="19">
        <v>260176</v>
      </c>
      <c r="F96" t="s">
        <v>87</v>
      </c>
      <c r="H96" s="7" t="str">
        <f>+VLOOKUP(F96,Categories!A:B,2,)</f>
        <v>Tires &amp; Wheels</v>
      </c>
      <c r="I96" s="3">
        <v>109.82</v>
      </c>
      <c r="M96" s="3">
        <v>109.82</v>
      </c>
      <c r="N96" s="3">
        <v>5.4909999999999997</v>
      </c>
      <c r="O96" s="3">
        <v>7.6874000000000002</v>
      </c>
      <c r="P96" s="3">
        <v>13.1784</v>
      </c>
      <c r="Q96" t="s">
        <v>19</v>
      </c>
      <c r="R96" s="3">
        <v>122.99839999999999</v>
      </c>
      <c r="S96" s="7" t="s">
        <v>50</v>
      </c>
      <c r="T96" s="19">
        <v>45366</v>
      </c>
    </row>
    <row r="97" spans="1:20" ht="19.2" customHeight="1" x14ac:dyDescent="0.3">
      <c r="A97" s="5">
        <v>45729</v>
      </c>
      <c r="B97" t="s">
        <v>97</v>
      </c>
      <c r="C97" s="19">
        <v>1117</v>
      </c>
      <c r="D97" s="20">
        <v>3600243525</v>
      </c>
      <c r="E97" s="19">
        <v>366633</v>
      </c>
      <c r="F97" t="s">
        <v>88</v>
      </c>
      <c r="H97" s="7" t="str">
        <f>+VLOOKUP(F97,Categories!A:B,2,)</f>
        <v>Hardware &amp; OTA</v>
      </c>
      <c r="I97" s="3">
        <v>262.43</v>
      </c>
      <c r="J97" s="3">
        <v>43.989999999999995</v>
      </c>
      <c r="M97" s="3">
        <v>306.42</v>
      </c>
      <c r="N97" s="3">
        <v>15.321000000000002</v>
      </c>
      <c r="O97" s="3">
        <v>21.449400000000004</v>
      </c>
      <c r="P97" s="3">
        <v>36.770400000000009</v>
      </c>
      <c r="Q97" t="s">
        <v>19</v>
      </c>
      <c r="R97" s="3">
        <v>343.19040000000001</v>
      </c>
      <c r="S97" s="7" t="s">
        <v>50</v>
      </c>
      <c r="T97" s="19">
        <v>45366</v>
      </c>
    </row>
    <row r="98" spans="1:20" ht="19.2" customHeight="1" x14ac:dyDescent="0.3">
      <c r="A98" s="5">
        <v>45729</v>
      </c>
      <c r="B98" s="7" t="s">
        <v>95</v>
      </c>
      <c r="C98" s="19">
        <v>1088</v>
      </c>
      <c r="D98" s="20">
        <v>3600243526</v>
      </c>
      <c r="E98" s="19">
        <v>14194893</v>
      </c>
      <c r="F98" t="s">
        <v>89</v>
      </c>
      <c r="H98" s="7" t="s">
        <v>121</v>
      </c>
      <c r="I98" s="3">
        <v>1437.38</v>
      </c>
      <c r="M98" s="3">
        <v>1437.38</v>
      </c>
      <c r="N98" s="3">
        <v>71.869000000000014</v>
      </c>
      <c r="O98" s="3">
        <v>100.61660000000002</v>
      </c>
      <c r="P98" s="3">
        <v>172.48560000000003</v>
      </c>
      <c r="Q98" t="s">
        <v>19</v>
      </c>
      <c r="R98" s="3">
        <v>1609.8656000000001</v>
      </c>
      <c r="S98" s="7" t="s">
        <v>50</v>
      </c>
      <c r="T98" s="19">
        <v>50998</v>
      </c>
    </row>
    <row r="99" spans="1:20" ht="19.2" customHeight="1" x14ac:dyDescent="0.3">
      <c r="A99" s="5">
        <v>45729</v>
      </c>
      <c r="B99" s="7" t="s">
        <v>94</v>
      </c>
      <c r="C99" s="19">
        <v>1122</v>
      </c>
      <c r="D99" s="20">
        <v>3600243527</v>
      </c>
      <c r="E99" s="19">
        <v>664462</v>
      </c>
      <c r="F99" t="s">
        <v>69</v>
      </c>
      <c r="H99" s="7" t="str">
        <f>+VLOOKUP(F99,Categories!A:B,2,)</f>
        <v>Hardware &amp; OTA</v>
      </c>
      <c r="I99" s="3">
        <v>184</v>
      </c>
      <c r="J99" s="3">
        <v>10.99</v>
      </c>
      <c r="M99" s="3">
        <v>194.99</v>
      </c>
      <c r="N99" s="3">
        <v>9.7495000000000012</v>
      </c>
      <c r="O99" s="3">
        <v>13.649300000000002</v>
      </c>
      <c r="P99" s="3">
        <v>23.398800000000001</v>
      </c>
      <c r="Q99" t="s">
        <v>19</v>
      </c>
      <c r="R99" s="3">
        <v>218.3888</v>
      </c>
      <c r="S99" s="7" t="s">
        <v>50</v>
      </c>
      <c r="T99" s="19">
        <v>45139</v>
      </c>
    </row>
    <row r="100" spans="1:20" ht="19.2" customHeight="1" x14ac:dyDescent="0.3">
      <c r="A100" s="5">
        <v>45729</v>
      </c>
      <c r="B100" s="7" t="s">
        <v>94</v>
      </c>
      <c r="C100" s="19">
        <v>1122</v>
      </c>
      <c r="D100" s="20">
        <v>3600243527</v>
      </c>
      <c r="E100" s="19">
        <v>664466</v>
      </c>
      <c r="F100" t="s">
        <v>69</v>
      </c>
      <c r="H100" s="7" t="str">
        <f>+VLOOKUP(F100,Categories!A:B,2,)</f>
        <v>Hardware &amp; OTA</v>
      </c>
      <c r="I100" s="3">
        <v>184</v>
      </c>
      <c r="J100" s="3">
        <v>10.99</v>
      </c>
      <c r="M100" s="3">
        <v>194.99</v>
      </c>
      <c r="N100" s="3">
        <v>9.7495000000000012</v>
      </c>
      <c r="O100" s="3">
        <v>13.649300000000002</v>
      </c>
      <c r="P100" s="3">
        <v>23.398800000000001</v>
      </c>
      <c r="Q100" t="s">
        <v>19</v>
      </c>
      <c r="R100" s="3">
        <v>218.3888</v>
      </c>
      <c r="S100" s="7" t="s">
        <v>50</v>
      </c>
      <c r="T100" s="19">
        <v>28495</v>
      </c>
    </row>
    <row r="101" spans="1:20" ht="19.2" customHeight="1" x14ac:dyDescent="0.3">
      <c r="A101" s="5">
        <v>45729</v>
      </c>
      <c r="B101" s="7" t="s">
        <v>94</v>
      </c>
      <c r="C101" s="19">
        <v>1122</v>
      </c>
      <c r="D101" s="20">
        <v>3600243527</v>
      </c>
      <c r="E101" s="19">
        <v>664463</v>
      </c>
      <c r="F101" t="s">
        <v>69</v>
      </c>
      <c r="H101" s="7" t="str">
        <f>+VLOOKUP(F101,Categories!A:B,2,)</f>
        <v>Hardware &amp; OTA</v>
      </c>
      <c r="I101" s="3">
        <v>184</v>
      </c>
      <c r="J101" s="3">
        <v>10.99</v>
      </c>
      <c r="M101" s="3">
        <v>194.99</v>
      </c>
      <c r="N101" s="3">
        <v>9.7495000000000012</v>
      </c>
      <c r="O101" s="3">
        <v>13.649300000000002</v>
      </c>
      <c r="P101" s="3">
        <v>23.398800000000001</v>
      </c>
      <c r="Q101" t="s">
        <v>19</v>
      </c>
      <c r="R101" s="3">
        <v>218.3888</v>
      </c>
      <c r="S101" s="7" t="s">
        <v>50</v>
      </c>
      <c r="T101" s="19">
        <v>45262</v>
      </c>
    </row>
    <row r="102" spans="1:20" ht="19.2" customHeight="1" x14ac:dyDescent="0.3">
      <c r="A102" s="5">
        <v>45729</v>
      </c>
      <c r="B102" s="7" t="s">
        <v>94</v>
      </c>
      <c r="C102" s="19">
        <v>1122</v>
      </c>
      <c r="D102" s="20">
        <v>3600243527</v>
      </c>
      <c r="E102" s="19">
        <v>664465</v>
      </c>
      <c r="F102" t="s">
        <v>69</v>
      </c>
      <c r="H102" s="7" t="str">
        <f>+VLOOKUP(F102,Categories!A:B,2,)</f>
        <v>Hardware &amp; OTA</v>
      </c>
      <c r="I102" s="3">
        <v>184</v>
      </c>
      <c r="J102" s="3">
        <v>10.99</v>
      </c>
      <c r="M102" s="3">
        <v>194.99</v>
      </c>
      <c r="N102" s="3">
        <v>9.7495000000000012</v>
      </c>
      <c r="O102" s="3">
        <v>13.649300000000002</v>
      </c>
      <c r="P102" s="3">
        <v>23.398800000000001</v>
      </c>
      <c r="Q102" t="s">
        <v>19</v>
      </c>
      <c r="R102" s="3">
        <v>218.3888</v>
      </c>
      <c r="S102" s="7" t="s">
        <v>50</v>
      </c>
      <c r="T102" s="19">
        <v>45471</v>
      </c>
    </row>
    <row r="103" spans="1:20" ht="19.2" customHeight="1" x14ac:dyDescent="0.3">
      <c r="A103" s="5">
        <v>45741</v>
      </c>
      <c r="B103" s="7" t="s">
        <v>94</v>
      </c>
      <c r="C103" s="19">
        <v>1122</v>
      </c>
      <c r="D103" s="20">
        <v>3600245005</v>
      </c>
      <c r="E103" s="19">
        <v>658267</v>
      </c>
      <c r="F103" t="s">
        <v>35</v>
      </c>
      <c r="H103" s="7" t="str">
        <f>+VLOOKUP(F103,Categories!A:B,2,)</f>
        <v>Inspection (CVI)</v>
      </c>
      <c r="I103" s="3">
        <v>179.95</v>
      </c>
      <c r="M103" s="3">
        <v>179.95</v>
      </c>
      <c r="N103" s="3">
        <v>8.9975000000000005</v>
      </c>
      <c r="O103" s="3">
        <v>12.596500000000001</v>
      </c>
      <c r="P103" s="3">
        <v>21.594000000000001</v>
      </c>
      <c r="Q103" t="s">
        <v>19</v>
      </c>
      <c r="R103" s="3">
        <v>201.54399999999998</v>
      </c>
      <c r="S103" s="7" t="s">
        <v>50</v>
      </c>
      <c r="T103" s="19">
        <v>50816</v>
      </c>
    </row>
    <row r="104" spans="1:20" ht="19.2" customHeight="1" x14ac:dyDescent="0.3">
      <c r="A104" s="5">
        <v>45741</v>
      </c>
      <c r="B104" s="7" t="s">
        <v>94</v>
      </c>
      <c r="C104" s="19">
        <v>1122</v>
      </c>
      <c r="D104" s="20">
        <v>3600245005</v>
      </c>
      <c r="E104" s="19">
        <v>658275</v>
      </c>
      <c r="F104" t="s">
        <v>35</v>
      </c>
      <c r="H104" s="7" t="str">
        <f>+VLOOKUP(F104,Categories!A:B,2,)</f>
        <v>Inspection (CVI)</v>
      </c>
      <c r="I104" s="3">
        <v>179.95</v>
      </c>
      <c r="M104" s="3">
        <v>179.95</v>
      </c>
      <c r="N104" s="3">
        <v>8.9975000000000005</v>
      </c>
      <c r="O104" s="3">
        <v>12.596500000000001</v>
      </c>
      <c r="P104" s="3">
        <v>21.594000000000001</v>
      </c>
      <c r="Q104" t="s">
        <v>19</v>
      </c>
      <c r="R104" s="3">
        <v>201.54399999999998</v>
      </c>
      <c r="S104" s="7" t="s">
        <v>50</v>
      </c>
      <c r="T104" s="19">
        <v>51361</v>
      </c>
    </row>
    <row r="105" spans="1:20" ht="19.2" customHeight="1" x14ac:dyDescent="0.3">
      <c r="A105" s="5">
        <v>45741</v>
      </c>
      <c r="B105" s="7" t="s">
        <v>94</v>
      </c>
      <c r="C105" s="19">
        <v>1122</v>
      </c>
      <c r="D105" s="20">
        <v>3600245005</v>
      </c>
      <c r="E105" s="19">
        <v>658276</v>
      </c>
      <c r="F105" t="s">
        <v>35</v>
      </c>
      <c r="H105" s="7" t="str">
        <f>+VLOOKUP(F105,Categories!A:B,2,)</f>
        <v>Inspection (CVI)</v>
      </c>
      <c r="I105" s="3">
        <v>179.95</v>
      </c>
      <c r="M105" s="3">
        <v>179.95</v>
      </c>
      <c r="N105" s="3">
        <v>8.9975000000000005</v>
      </c>
      <c r="O105" s="3">
        <v>12.596500000000001</v>
      </c>
      <c r="P105" s="3">
        <v>21.594000000000001</v>
      </c>
      <c r="Q105" t="s">
        <v>19</v>
      </c>
      <c r="R105" s="3">
        <v>201.54399999999998</v>
      </c>
      <c r="S105" s="7" t="s">
        <v>50</v>
      </c>
      <c r="T105" s="19">
        <v>50706</v>
      </c>
    </row>
    <row r="106" spans="1:20" ht="19.2" customHeight="1" x14ac:dyDescent="0.3">
      <c r="A106" s="5">
        <v>45741</v>
      </c>
      <c r="B106" s="7" t="s">
        <v>94</v>
      </c>
      <c r="C106" s="19">
        <v>1122</v>
      </c>
      <c r="D106" s="20">
        <v>3600245005</v>
      </c>
      <c r="E106" s="19">
        <v>658281</v>
      </c>
      <c r="F106" t="s">
        <v>35</v>
      </c>
      <c r="H106" s="7" t="str">
        <f>+VLOOKUP(F106,Categories!A:B,2,)</f>
        <v>Inspection (CVI)</v>
      </c>
      <c r="I106" s="3">
        <v>179.95</v>
      </c>
      <c r="M106" s="3">
        <v>179.95</v>
      </c>
      <c r="N106" s="3">
        <v>8.9975000000000005</v>
      </c>
      <c r="O106" s="3">
        <v>12.596500000000001</v>
      </c>
      <c r="P106" s="3">
        <v>21.594000000000001</v>
      </c>
      <c r="Q106" t="s">
        <v>19</v>
      </c>
      <c r="R106" s="3">
        <v>201.54399999999998</v>
      </c>
      <c r="S106" s="7" t="s">
        <v>50</v>
      </c>
      <c r="T106" s="19">
        <v>50253</v>
      </c>
    </row>
    <row r="107" spans="1:20" ht="19.2" customHeight="1" x14ac:dyDescent="0.3">
      <c r="A107" s="5">
        <v>45741</v>
      </c>
      <c r="B107" s="7" t="s">
        <v>94</v>
      </c>
      <c r="C107" s="19">
        <v>1122</v>
      </c>
      <c r="D107" s="20">
        <v>3600245005</v>
      </c>
      <c r="E107" s="19">
        <v>658270</v>
      </c>
      <c r="F107" t="s">
        <v>35</v>
      </c>
      <c r="H107" s="7" t="str">
        <f>+VLOOKUP(F107,Categories!A:B,2,)</f>
        <v>Inspection (CVI)</v>
      </c>
      <c r="I107" s="3">
        <v>179.95</v>
      </c>
      <c r="M107" s="3">
        <v>179.95</v>
      </c>
      <c r="N107" s="3">
        <v>8.9975000000000005</v>
      </c>
      <c r="O107" s="3">
        <v>12.596500000000001</v>
      </c>
      <c r="P107" s="3">
        <v>21.594000000000001</v>
      </c>
      <c r="Q107" t="s">
        <v>19</v>
      </c>
      <c r="R107" s="3">
        <v>201.54399999999998</v>
      </c>
      <c r="S107" s="7" t="s">
        <v>50</v>
      </c>
      <c r="T107" s="19">
        <v>51224</v>
      </c>
    </row>
    <row r="108" spans="1:20" ht="19.2" customHeight="1" x14ac:dyDescent="0.3">
      <c r="A108" s="5">
        <v>45741</v>
      </c>
      <c r="B108" s="7" t="s">
        <v>94</v>
      </c>
      <c r="C108" s="19">
        <v>1122</v>
      </c>
      <c r="D108" s="20">
        <v>3600245005</v>
      </c>
      <c r="E108" s="19">
        <v>658269</v>
      </c>
      <c r="F108" t="s">
        <v>35</v>
      </c>
      <c r="H108" s="7" t="str">
        <f>+VLOOKUP(F108,Categories!A:B,2,)</f>
        <v>Inspection (CVI)</v>
      </c>
      <c r="I108" s="3">
        <v>179.95</v>
      </c>
      <c r="M108" s="3">
        <v>179.95</v>
      </c>
      <c r="N108" s="3">
        <v>8.9975000000000005</v>
      </c>
      <c r="O108" s="3">
        <v>12.596500000000001</v>
      </c>
      <c r="P108" s="3">
        <v>21.594000000000001</v>
      </c>
      <c r="Q108" t="s">
        <v>19</v>
      </c>
      <c r="R108" s="3">
        <v>201.54399999999998</v>
      </c>
      <c r="S108" s="7" t="s">
        <v>50</v>
      </c>
      <c r="T108" s="19">
        <v>51242</v>
      </c>
    </row>
    <row r="109" spans="1:20" ht="19.2" customHeight="1" x14ac:dyDescent="0.3">
      <c r="A109" s="5">
        <v>45741</v>
      </c>
      <c r="B109" s="7" t="s">
        <v>94</v>
      </c>
      <c r="C109" s="19">
        <v>1122</v>
      </c>
      <c r="D109" s="20">
        <v>3600245005</v>
      </c>
      <c r="E109" s="19">
        <v>658265</v>
      </c>
      <c r="F109" t="s">
        <v>35</v>
      </c>
      <c r="H109" s="7" t="str">
        <f>+VLOOKUP(F109,Categories!A:B,2,)</f>
        <v>Inspection (CVI)</v>
      </c>
      <c r="I109" s="3">
        <v>179.95</v>
      </c>
      <c r="M109" s="3">
        <v>179.95</v>
      </c>
      <c r="N109" s="3">
        <v>8.9975000000000005</v>
      </c>
      <c r="O109" s="3">
        <v>12.596500000000001</v>
      </c>
      <c r="P109" s="3">
        <v>21.594000000000001</v>
      </c>
      <c r="Q109" t="s">
        <v>19</v>
      </c>
      <c r="R109" s="3">
        <v>201.54399999999998</v>
      </c>
      <c r="S109" s="7" t="s">
        <v>50</v>
      </c>
      <c r="T109" s="19">
        <v>51104</v>
      </c>
    </row>
    <row r="110" spans="1:20" ht="19.2" customHeight="1" x14ac:dyDescent="0.3">
      <c r="A110" s="5">
        <v>45741</v>
      </c>
      <c r="B110" s="7" t="s">
        <v>94</v>
      </c>
      <c r="C110" s="19">
        <v>1122</v>
      </c>
      <c r="D110" s="20">
        <v>3600245005</v>
      </c>
      <c r="E110" s="19">
        <v>658278</v>
      </c>
      <c r="F110" t="s">
        <v>35</v>
      </c>
      <c r="H110" s="7" t="str">
        <f>+VLOOKUP(F110,Categories!A:B,2,)</f>
        <v>Inspection (CVI)</v>
      </c>
      <c r="I110" s="3">
        <v>179.95</v>
      </c>
      <c r="M110" s="3">
        <v>179.95</v>
      </c>
      <c r="N110" s="3">
        <v>8.9975000000000005</v>
      </c>
      <c r="O110" s="3">
        <v>12.596500000000001</v>
      </c>
      <c r="P110" s="3">
        <v>21.594000000000001</v>
      </c>
      <c r="Q110" t="s">
        <v>19</v>
      </c>
      <c r="R110" s="3">
        <v>201.54399999999998</v>
      </c>
      <c r="S110" s="7" t="s">
        <v>50</v>
      </c>
      <c r="T110" s="19">
        <v>50334</v>
      </c>
    </row>
    <row r="111" spans="1:20" ht="19.2" customHeight="1" x14ac:dyDescent="0.3">
      <c r="A111" s="5">
        <v>45741</v>
      </c>
      <c r="B111" s="7" t="s">
        <v>94</v>
      </c>
      <c r="C111" s="19">
        <v>1122</v>
      </c>
      <c r="D111" s="20">
        <v>3600245005</v>
      </c>
      <c r="E111" s="19">
        <v>658271</v>
      </c>
      <c r="F111" t="s">
        <v>35</v>
      </c>
      <c r="H111" s="7" t="str">
        <f>+VLOOKUP(F111,Categories!A:B,2,)</f>
        <v>Inspection (CVI)</v>
      </c>
      <c r="I111" s="3">
        <v>179.95</v>
      </c>
      <c r="M111" s="3">
        <v>179.95</v>
      </c>
      <c r="N111" s="3">
        <v>8.9975000000000005</v>
      </c>
      <c r="O111" s="3">
        <v>12.596500000000001</v>
      </c>
      <c r="P111" s="3">
        <v>21.594000000000001</v>
      </c>
      <c r="Q111" t="s">
        <v>19</v>
      </c>
      <c r="R111" s="3">
        <v>201.54399999999998</v>
      </c>
      <c r="S111" s="7" t="s">
        <v>50</v>
      </c>
      <c r="T111" s="19">
        <v>50104</v>
      </c>
    </row>
    <row r="112" spans="1:20" ht="19.2" customHeight="1" x14ac:dyDescent="0.3">
      <c r="A112" s="5">
        <v>45741</v>
      </c>
      <c r="B112" s="7" t="s">
        <v>94</v>
      </c>
      <c r="C112" s="19">
        <v>1122</v>
      </c>
      <c r="D112" s="20">
        <v>3600245005</v>
      </c>
      <c r="E112" s="19">
        <v>658266</v>
      </c>
      <c r="F112" t="s">
        <v>35</v>
      </c>
      <c r="H112" s="7" t="str">
        <f>+VLOOKUP(F112,Categories!A:B,2,)</f>
        <v>Inspection (CVI)</v>
      </c>
      <c r="I112" s="3">
        <v>179.95</v>
      </c>
      <c r="M112" s="3">
        <v>179.95</v>
      </c>
      <c r="N112" s="3">
        <v>8.9975000000000005</v>
      </c>
      <c r="O112" s="3">
        <v>12.596500000000001</v>
      </c>
      <c r="P112" s="3">
        <v>21.594000000000001</v>
      </c>
      <c r="Q112" t="s">
        <v>19</v>
      </c>
      <c r="R112" s="3">
        <v>201.54399999999998</v>
      </c>
      <c r="S112" s="7" t="s">
        <v>50</v>
      </c>
      <c r="T112" s="19">
        <v>50998</v>
      </c>
    </row>
    <row r="113" spans="1:20" ht="19.2" customHeight="1" x14ac:dyDescent="0.3">
      <c r="A113" s="5">
        <v>45741</v>
      </c>
      <c r="B113" s="7" t="s">
        <v>94</v>
      </c>
      <c r="C113" s="19">
        <v>1122</v>
      </c>
      <c r="D113" s="20">
        <v>3600245005</v>
      </c>
      <c r="E113" s="19">
        <v>658282</v>
      </c>
      <c r="F113" t="s">
        <v>35</v>
      </c>
      <c r="H113" s="7" t="str">
        <f>+VLOOKUP(F113,Categories!A:B,2,)</f>
        <v>Inspection (CVI)</v>
      </c>
      <c r="I113" s="3">
        <v>179.95</v>
      </c>
      <c r="M113" s="3">
        <v>179.95</v>
      </c>
      <c r="N113" s="3">
        <v>8.9975000000000005</v>
      </c>
      <c r="O113" s="3">
        <v>12.596500000000001</v>
      </c>
      <c r="P113" s="3">
        <v>21.594000000000001</v>
      </c>
      <c r="Q113" t="s">
        <v>19</v>
      </c>
      <c r="R113" s="3">
        <v>201.54399999999998</v>
      </c>
      <c r="S113" s="7" t="s">
        <v>50</v>
      </c>
      <c r="T113" s="19">
        <v>50388</v>
      </c>
    </row>
    <row r="114" spans="1:20" ht="19.2" customHeight="1" x14ac:dyDescent="0.3">
      <c r="A114" s="5">
        <v>45741</v>
      </c>
      <c r="B114" s="7" t="s">
        <v>94</v>
      </c>
      <c r="C114" s="19">
        <v>1122</v>
      </c>
      <c r="D114" s="20">
        <v>3600245005</v>
      </c>
      <c r="E114" s="19">
        <v>658277</v>
      </c>
      <c r="F114" t="s">
        <v>35</v>
      </c>
      <c r="H114" s="7" t="str">
        <f>+VLOOKUP(F114,Categories!A:B,2,)</f>
        <v>Inspection (CVI)</v>
      </c>
      <c r="I114" s="3">
        <v>179.95</v>
      </c>
      <c r="M114" s="3">
        <v>179.95</v>
      </c>
      <c r="N114" s="3">
        <v>8.9975000000000005</v>
      </c>
      <c r="O114" s="3">
        <v>12.596500000000001</v>
      </c>
      <c r="P114" s="3">
        <v>21.594000000000001</v>
      </c>
      <c r="Q114" t="s">
        <v>19</v>
      </c>
      <c r="R114" s="3">
        <v>201.54399999999998</v>
      </c>
      <c r="S114" s="7" t="s">
        <v>50</v>
      </c>
      <c r="T114" s="19">
        <v>50716</v>
      </c>
    </row>
    <row r="115" spans="1:20" ht="19.2" customHeight="1" x14ac:dyDescent="0.3">
      <c r="A115" s="5">
        <v>45741</v>
      </c>
      <c r="B115" s="7" t="s">
        <v>94</v>
      </c>
      <c r="C115" s="19">
        <v>1122</v>
      </c>
      <c r="D115" s="20">
        <v>3600245005</v>
      </c>
      <c r="E115" s="19">
        <v>658280</v>
      </c>
      <c r="F115" t="s">
        <v>35</v>
      </c>
      <c r="H115" s="7" t="str">
        <f>+VLOOKUP(F115,Categories!A:B,2,)</f>
        <v>Inspection (CVI)</v>
      </c>
      <c r="I115" s="3">
        <v>179.95</v>
      </c>
      <c r="M115" s="3">
        <v>179.95</v>
      </c>
      <c r="N115" s="3">
        <v>8.9975000000000005</v>
      </c>
      <c r="O115" s="3">
        <v>12.596500000000001</v>
      </c>
      <c r="P115" s="3">
        <v>21.594000000000001</v>
      </c>
      <c r="Q115" t="s">
        <v>19</v>
      </c>
      <c r="R115" s="3">
        <v>201.54399999999998</v>
      </c>
      <c r="S115" s="7" t="s">
        <v>50</v>
      </c>
      <c r="T115" s="19">
        <v>50148</v>
      </c>
    </row>
    <row r="116" spans="1:20" ht="19.2" customHeight="1" x14ac:dyDescent="0.3">
      <c r="A116" s="5">
        <v>45741</v>
      </c>
      <c r="B116" s="7" t="s">
        <v>95</v>
      </c>
      <c r="C116" s="19">
        <v>1088</v>
      </c>
      <c r="D116" s="20">
        <v>3600245011</v>
      </c>
      <c r="E116" s="19">
        <v>328601</v>
      </c>
      <c r="F116" t="s">
        <v>90</v>
      </c>
      <c r="H116" s="7" t="str">
        <f>+VLOOKUP(F116,Categories!A:B,2,)</f>
        <v>Financial / Admin</v>
      </c>
      <c r="I116" s="3">
        <v>164.56</v>
      </c>
      <c r="M116" s="3">
        <v>164.56</v>
      </c>
      <c r="P116" s="3">
        <v>0</v>
      </c>
      <c r="R116" s="3">
        <v>164.56</v>
      </c>
      <c r="S116" s="7" t="s">
        <v>50</v>
      </c>
      <c r="T116" s="19">
        <v>50998</v>
      </c>
    </row>
    <row r="117" spans="1:20" ht="19.2" customHeight="1" x14ac:dyDescent="0.3">
      <c r="A117" s="5">
        <v>45702</v>
      </c>
      <c r="B117" s="7" t="s">
        <v>94</v>
      </c>
      <c r="C117" s="19">
        <v>1122</v>
      </c>
      <c r="D117" s="20">
        <v>3600241421</v>
      </c>
      <c r="E117" s="19">
        <v>662847</v>
      </c>
      <c r="F117" t="s">
        <v>91</v>
      </c>
      <c r="H117" s="7" t="str">
        <f>+VLOOKUP(F117,Categories!A:B,2,)</f>
        <v>Tires &amp; Wheels</v>
      </c>
      <c r="I117" s="3">
        <v>109.82</v>
      </c>
      <c r="M117" s="4">
        <v>109.82</v>
      </c>
      <c r="N117" s="3">
        <v>5.49</v>
      </c>
      <c r="O117" s="3">
        <v>7.69</v>
      </c>
      <c r="P117" s="3">
        <v>13.18</v>
      </c>
      <c r="Q117" t="s">
        <v>19</v>
      </c>
      <c r="R117" s="3">
        <v>123</v>
      </c>
      <c r="S117" s="7" t="s">
        <v>50</v>
      </c>
      <c r="T117" s="26">
        <v>50998</v>
      </c>
    </row>
    <row r="118" spans="1:20" ht="19.2" customHeight="1" x14ac:dyDescent="0.3">
      <c r="A118" s="5">
        <v>45706</v>
      </c>
      <c r="B118" t="s">
        <v>97</v>
      </c>
      <c r="C118" s="19">
        <v>1117</v>
      </c>
      <c r="D118" s="20">
        <v>3600241423</v>
      </c>
      <c r="E118" s="19">
        <v>365414</v>
      </c>
      <c r="F118" t="s">
        <v>35</v>
      </c>
      <c r="H118" s="7" t="str">
        <f>+VLOOKUP(F118,Categories!A:B,2,)</f>
        <v>Inspection (CVI)</v>
      </c>
      <c r="I118" s="3">
        <v>159.94999999999999</v>
      </c>
      <c r="M118" s="4">
        <v>159.94999999999999</v>
      </c>
      <c r="N118" s="3">
        <v>7.9974999999999996</v>
      </c>
      <c r="O118" s="3">
        <v>11.1965</v>
      </c>
      <c r="P118" s="3">
        <v>19.193999999999999</v>
      </c>
      <c r="Q118" t="s">
        <v>19</v>
      </c>
      <c r="R118" s="3">
        <v>179.14399999999998</v>
      </c>
      <c r="S118" s="7" t="s">
        <v>50</v>
      </c>
      <c r="T118" s="26">
        <v>50006</v>
      </c>
    </row>
    <row r="119" spans="1:20" ht="19.2" customHeight="1" x14ac:dyDescent="0.3">
      <c r="A119" s="5">
        <v>45706</v>
      </c>
      <c r="B119" t="s">
        <v>97</v>
      </c>
      <c r="C119" s="19">
        <v>1117</v>
      </c>
      <c r="D119" s="20">
        <v>3600241423</v>
      </c>
      <c r="E119" s="19">
        <v>365417</v>
      </c>
      <c r="F119" t="s">
        <v>35</v>
      </c>
      <c r="H119" s="7" t="str">
        <f>+VLOOKUP(F119,Categories!A:B,2,)</f>
        <v>Inspection (CVI)</v>
      </c>
      <c r="I119" s="3">
        <v>159.94999999999999</v>
      </c>
      <c r="M119" s="4">
        <v>159.94999999999999</v>
      </c>
      <c r="N119" s="3">
        <v>7.9974999999999996</v>
      </c>
      <c r="O119" s="3">
        <v>11.1965</v>
      </c>
      <c r="P119" s="3">
        <v>19.193999999999999</v>
      </c>
      <c r="Q119" t="s">
        <v>19</v>
      </c>
      <c r="R119" s="3">
        <v>179.14399999999998</v>
      </c>
      <c r="S119" s="7" t="s">
        <v>50</v>
      </c>
      <c r="T119" s="26">
        <v>50565</v>
      </c>
    </row>
    <row r="120" spans="1:20" ht="19.2" customHeight="1" x14ac:dyDescent="0.3">
      <c r="A120" s="5">
        <v>45706</v>
      </c>
      <c r="B120" t="s">
        <v>97</v>
      </c>
      <c r="C120" s="19">
        <v>1117</v>
      </c>
      <c r="D120" s="20">
        <v>3600241423</v>
      </c>
      <c r="E120" s="19">
        <v>365418</v>
      </c>
      <c r="F120" t="s">
        <v>35</v>
      </c>
      <c r="H120" s="7" t="str">
        <f>+VLOOKUP(F120,Categories!A:B,2,)</f>
        <v>Inspection (CVI)</v>
      </c>
      <c r="I120" s="3">
        <v>159.94999999999999</v>
      </c>
      <c r="M120" s="4">
        <v>159.94999999999999</v>
      </c>
      <c r="N120" s="3">
        <v>7.9974999999999996</v>
      </c>
      <c r="O120" s="3">
        <v>11.1965</v>
      </c>
      <c r="P120" s="3">
        <v>19.193999999999999</v>
      </c>
      <c r="Q120" t="s">
        <v>19</v>
      </c>
      <c r="R120" s="3">
        <v>179.14399999999998</v>
      </c>
      <c r="S120" s="7" t="s">
        <v>50</v>
      </c>
      <c r="T120" s="26">
        <v>50229</v>
      </c>
    </row>
    <row r="121" spans="1:20" ht="19.2" customHeight="1" x14ac:dyDescent="0.3">
      <c r="A121" s="5">
        <v>45706</v>
      </c>
      <c r="B121" t="s">
        <v>97</v>
      </c>
      <c r="C121" s="19">
        <v>1117</v>
      </c>
      <c r="D121" s="20">
        <v>3600241423</v>
      </c>
      <c r="E121" s="19">
        <v>365420</v>
      </c>
      <c r="F121" t="s">
        <v>35</v>
      </c>
      <c r="H121" s="7" t="str">
        <f>+VLOOKUP(F121,Categories!A:B,2,)</f>
        <v>Inspection (CVI)</v>
      </c>
      <c r="I121" s="3">
        <v>159.94999999999999</v>
      </c>
      <c r="M121" s="4">
        <v>159.94999999999999</v>
      </c>
      <c r="N121" s="3">
        <v>7.9974999999999996</v>
      </c>
      <c r="O121" s="3">
        <v>11.1965</v>
      </c>
      <c r="P121" s="3">
        <v>19.193999999999999</v>
      </c>
      <c r="Q121" t="s">
        <v>19</v>
      </c>
      <c r="R121" s="3">
        <v>179.14399999999998</v>
      </c>
      <c r="S121" s="7" t="s">
        <v>50</v>
      </c>
      <c r="T121" s="26">
        <v>49875</v>
      </c>
    </row>
    <row r="122" spans="1:20" ht="19.2" customHeight="1" x14ac:dyDescent="0.3">
      <c r="A122" s="5">
        <v>45706</v>
      </c>
      <c r="B122" t="s">
        <v>97</v>
      </c>
      <c r="C122" s="19">
        <v>1117</v>
      </c>
      <c r="D122" s="20">
        <v>3600241423</v>
      </c>
      <c r="E122" s="19">
        <v>365421</v>
      </c>
      <c r="F122" t="s">
        <v>35</v>
      </c>
      <c r="H122" s="7" t="str">
        <f>+VLOOKUP(F122,Categories!A:B,2,)</f>
        <v>Inspection (CVI)</v>
      </c>
      <c r="I122" s="3">
        <v>159.94999999999999</v>
      </c>
      <c r="M122" s="4">
        <v>159.94999999999999</v>
      </c>
      <c r="N122" s="3">
        <v>7.9974999999999996</v>
      </c>
      <c r="O122" s="3">
        <v>11.1965</v>
      </c>
      <c r="P122" s="3">
        <v>19.193999999999999</v>
      </c>
      <c r="Q122" t="s">
        <v>19</v>
      </c>
      <c r="R122" s="3">
        <v>179.14399999999998</v>
      </c>
      <c r="S122" s="7" t="s">
        <v>50</v>
      </c>
      <c r="T122" s="26">
        <v>50463</v>
      </c>
    </row>
    <row r="123" spans="1:20" ht="19.2" customHeight="1" x14ac:dyDescent="0.3">
      <c r="A123" s="5">
        <v>45706</v>
      </c>
      <c r="B123" t="s">
        <v>97</v>
      </c>
      <c r="C123" s="19">
        <v>1117</v>
      </c>
      <c r="D123" s="20">
        <v>3600241423</v>
      </c>
      <c r="E123" s="19">
        <v>365409</v>
      </c>
      <c r="F123" t="s">
        <v>35</v>
      </c>
      <c r="H123" s="7" t="str">
        <f>+VLOOKUP(F123,Categories!A:B,2,)</f>
        <v>Inspection (CVI)</v>
      </c>
      <c r="I123" s="3">
        <v>159.94999999999999</v>
      </c>
      <c r="M123" s="4">
        <v>159.94999999999999</v>
      </c>
      <c r="N123" s="3">
        <v>7.9974999999999996</v>
      </c>
      <c r="O123" s="3">
        <v>11.1965</v>
      </c>
      <c r="P123" s="3">
        <v>19.193999999999999</v>
      </c>
      <c r="R123" s="3">
        <v>179.14399999999998</v>
      </c>
      <c r="S123" t="s">
        <v>61</v>
      </c>
      <c r="T123" s="26" t="s">
        <v>61</v>
      </c>
    </row>
    <row r="124" spans="1:20" ht="19.2" customHeight="1" x14ac:dyDescent="0.3">
      <c r="A124" s="5">
        <v>45716</v>
      </c>
      <c r="B124" t="s">
        <v>97</v>
      </c>
      <c r="C124" s="19">
        <v>1117</v>
      </c>
      <c r="D124" s="20">
        <v>3600242223</v>
      </c>
      <c r="E124" s="19">
        <v>366632</v>
      </c>
      <c r="F124" t="s">
        <v>88</v>
      </c>
      <c r="H124" s="7" t="str">
        <f>+VLOOKUP(F124,Categories!A:B,2,)</f>
        <v>Hardware &amp; OTA</v>
      </c>
      <c r="I124" s="3">
        <v>262.43</v>
      </c>
      <c r="L124" s="3">
        <v>31.49</v>
      </c>
      <c r="M124" s="3">
        <v>293.92</v>
      </c>
      <c r="N124" s="3">
        <v>14.696000000000002</v>
      </c>
      <c r="O124" s="3">
        <v>20.574400000000004</v>
      </c>
      <c r="P124" s="3">
        <v>35.270400000000009</v>
      </c>
      <c r="Q124" t="s">
        <v>19</v>
      </c>
      <c r="R124" s="3">
        <v>329.19040000000001</v>
      </c>
      <c r="S124" s="7" t="s">
        <v>50</v>
      </c>
      <c r="T124" s="19">
        <v>26597</v>
      </c>
    </row>
    <row r="125" spans="1:20" ht="19.2" customHeight="1" x14ac:dyDescent="0.3">
      <c r="A125" s="5">
        <v>45716</v>
      </c>
      <c r="B125" t="s">
        <v>97</v>
      </c>
      <c r="C125" s="19">
        <v>1117</v>
      </c>
      <c r="D125" s="20">
        <v>3600242223</v>
      </c>
      <c r="E125" s="19">
        <v>365485</v>
      </c>
      <c r="F125" t="s">
        <v>92</v>
      </c>
      <c r="H125" s="7" t="str">
        <f>+VLOOKUP(F125,Categories!A:B,2,)</f>
        <v>Cleaning</v>
      </c>
      <c r="I125" s="3">
        <v>44.64</v>
      </c>
      <c r="L125" s="3">
        <v>5.36</v>
      </c>
      <c r="M125" s="3">
        <v>50</v>
      </c>
      <c r="N125" s="3">
        <v>2.5</v>
      </c>
      <c r="O125" s="3">
        <v>3.5000000000000004</v>
      </c>
      <c r="P125" s="3">
        <v>6</v>
      </c>
      <c r="Q125" t="s">
        <v>19</v>
      </c>
      <c r="R125" s="3">
        <v>56</v>
      </c>
      <c r="S125" s="7" t="s">
        <v>50</v>
      </c>
      <c r="T125" s="19">
        <v>50340</v>
      </c>
    </row>
    <row r="126" spans="1:20" ht="19.2" customHeight="1" x14ac:dyDescent="0.3">
      <c r="A126" s="5">
        <v>45716</v>
      </c>
      <c r="B126" t="s">
        <v>97</v>
      </c>
      <c r="C126" s="19">
        <v>1117</v>
      </c>
      <c r="D126" s="20">
        <v>3600242223</v>
      </c>
      <c r="E126" s="19">
        <v>365496</v>
      </c>
      <c r="F126" t="s">
        <v>92</v>
      </c>
      <c r="H126" s="7" t="str">
        <f>+VLOOKUP(F126,Categories!A:B,2,)</f>
        <v>Cleaning</v>
      </c>
      <c r="I126" s="3">
        <v>44.64</v>
      </c>
      <c r="L126" s="3">
        <v>5.36</v>
      </c>
      <c r="M126" s="3">
        <v>50</v>
      </c>
      <c r="N126" s="3">
        <v>2.5</v>
      </c>
      <c r="O126" s="3">
        <v>3.5000000000000004</v>
      </c>
      <c r="P126" s="3">
        <v>6</v>
      </c>
      <c r="Q126" t="s">
        <v>19</v>
      </c>
      <c r="R126" s="3">
        <v>56</v>
      </c>
      <c r="S126" s="7" t="s">
        <v>50</v>
      </c>
      <c r="T126" s="19">
        <v>50463</v>
      </c>
    </row>
    <row r="127" spans="1:20" ht="19.2" customHeight="1" x14ac:dyDescent="0.3">
      <c r="A127" s="5">
        <v>45716</v>
      </c>
      <c r="B127" t="s">
        <v>97</v>
      </c>
      <c r="C127" s="19">
        <v>1117</v>
      </c>
      <c r="D127" s="20">
        <v>3600242223</v>
      </c>
      <c r="E127" s="19">
        <v>365509</v>
      </c>
      <c r="F127" t="s">
        <v>92</v>
      </c>
      <c r="H127" s="7" t="str">
        <f>+VLOOKUP(F127,Categories!A:B,2,)</f>
        <v>Cleaning</v>
      </c>
      <c r="I127">
        <v>44.64</v>
      </c>
      <c r="J127"/>
      <c r="K127"/>
      <c r="L127">
        <v>5.36</v>
      </c>
      <c r="M127">
        <v>50</v>
      </c>
      <c r="N127">
        <v>2.5</v>
      </c>
      <c r="O127">
        <v>3.5000000000000004</v>
      </c>
      <c r="P127">
        <v>6</v>
      </c>
      <c r="Q127" t="s">
        <v>19</v>
      </c>
      <c r="R127">
        <v>56</v>
      </c>
      <c r="S127" t="s">
        <v>27</v>
      </c>
      <c r="T127" s="19">
        <v>11714</v>
      </c>
    </row>
    <row r="128" spans="1:20" ht="19.2" customHeight="1" x14ac:dyDescent="0.3">
      <c r="A128" s="5">
        <v>45716</v>
      </c>
      <c r="B128" t="s">
        <v>97</v>
      </c>
      <c r="C128" s="19">
        <v>1117</v>
      </c>
      <c r="D128" s="20">
        <v>3600242223</v>
      </c>
      <c r="E128" s="19">
        <v>365512</v>
      </c>
      <c r="F128" t="s">
        <v>92</v>
      </c>
      <c r="H128" s="7" t="str">
        <f>+VLOOKUP(F128,Categories!A:B,2,)</f>
        <v>Cleaning</v>
      </c>
      <c r="I128" s="3">
        <v>44.64</v>
      </c>
      <c r="L128" s="3">
        <v>5.36</v>
      </c>
      <c r="M128" s="3">
        <v>50</v>
      </c>
      <c r="N128" s="3">
        <v>2.5</v>
      </c>
      <c r="O128" s="3">
        <v>3.5000000000000004</v>
      </c>
      <c r="P128" s="3">
        <v>6</v>
      </c>
      <c r="Q128" t="s">
        <v>19</v>
      </c>
      <c r="R128" s="3">
        <v>56</v>
      </c>
      <c r="S128" s="7" t="s">
        <v>50</v>
      </c>
      <c r="T128" s="19">
        <v>50229</v>
      </c>
    </row>
    <row r="129" spans="1:20" ht="19.2" customHeight="1" x14ac:dyDescent="0.3">
      <c r="A129" s="5">
        <v>45716</v>
      </c>
      <c r="B129" t="s">
        <v>97</v>
      </c>
      <c r="C129" s="19">
        <v>1117</v>
      </c>
      <c r="D129" s="20">
        <v>3600242223</v>
      </c>
      <c r="E129" s="19">
        <v>365516</v>
      </c>
      <c r="F129" t="s">
        <v>92</v>
      </c>
      <c r="H129" s="7" t="str">
        <f>+VLOOKUP(F129,Categories!A:B,2,)</f>
        <v>Cleaning</v>
      </c>
      <c r="I129" s="3">
        <v>44.64</v>
      </c>
      <c r="L129" s="3">
        <v>5.36</v>
      </c>
      <c r="M129" s="3">
        <v>50</v>
      </c>
      <c r="N129" s="3">
        <v>2.5</v>
      </c>
      <c r="O129" s="3">
        <v>3.5000000000000004</v>
      </c>
      <c r="P129" s="3">
        <v>6</v>
      </c>
      <c r="Q129" t="s">
        <v>19</v>
      </c>
      <c r="R129" s="3">
        <v>56</v>
      </c>
      <c r="S129" s="7" t="s">
        <v>50</v>
      </c>
      <c r="T129" s="19">
        <v>49875</v>
      </c>
    </row>
    <row r="130" spans="1:20" ht="19.2" customHeight="1" x14ac:dyDescent="0.3">
      <c r="A130" s="5">
        <v>45716</v>
      </c>
      <c r="B130" t="s">
        <v>97</v>
      </c>
      <c r="C130" s="19">
        <v>1117</v>
      </c>
      <c r="D130" s="20">
        <v>3600242223</v>
      </c>
      <c r="E130" s="19">
        <v>365585</v>
      </c>
      <c r="F130" t="s">
        <v>92</v>
      </c>
      <c r="H130" s="7" t="str">
        <f>+VLOOKUP(F130,Categories!A:B,2,)</f>
        <v>Cleaning</v>
      </c>
      <c r="I130" s="3">
        <v>44.64</v>
      </c>
      <c r="L130" s="3">
        <v>5.36</v>
      </c>
      <c r="M130" s="3">
        <v>50</v>
      </c>
      <c r="N130" s="3">
        <v>2.5</v>
      </c>
      <c r="O130" s="3">
        <v>3.5000000000000004</v>
      </c>
      <c r="P130" s="3">
        <v>6</v>
      </c>
      <c r="Q130" t="s">
        <v>19</v>
      </c>
      <c r="R130" s="3">
        <v>56</v>
      </c>
      <c r="S130" s="7" t="s">
        <v>50</v>
      </c>
      <c r="T130" s="19">
        <v>42963</v>
      </c>
    </row>
    <row r="131" spans="1:20" ht="19.2" customHeight="1" x14ac:dyDescent="0.3">
      <c r="A131" s="5">
        <v>45716</v>
      </c>
      <c r="B131" t="s">
        <v>97</v>
      </c>
      <c r="C131" s="19">
        <v>1117</v>
      </c>
      <c r="D131" s="20">
        <v>3600242223</v>
      </c>
      <c r="E131" s="19">
        <v>365586</v>
      </c>
      <c r="F131" t="s">
        <v>92</v>
      </c>
      <c r="H131" s="7" t="str">
        <f>+VLOOKUP(F131,Categories!A:B,2,)</f>
        <v>Cleaning</v>
      </c>
      <c r="I131">
        <v>44.64</v>
      </c>
      <c r="J131"/>
      <c r="K131"/>
      <c r="L131">
        <v>5.36</v>
      </c>
      <c r="M131">
        <v>50</v>
      </c>
      <c r="N131">
        <v>2.5</v>
      </c>
      <c r="O131">
        <v>3.5000000000000004</v>
      </c>
      <c r="P131">
        <v>6</v>
      </c>
      <c r="Q131" t="s">
        <v>19</v>
      </c>
      <c r="R131">
        <v>56</v>
      </c>
      <c r="S131" t="s">
        <v>27</v>
      </c>
      <c r="T131" s="19">
        <v>11724</v>
      </c>
    </row>
    <row r="132" spans="1:20" ht="19.2" customHeight="1" x14ac:dyDescent="0.3">
      <c r="A132" s="5">
        <v>45716</v>
      </c>
      <c r="B132" t="s">
        <v>97</v>
      </c>
      <c r="C132" s="19">
        <v>1117</v>
      </c>
      <c r="D132" s="20">
        <v>3600242223</v>
      </c>
      <c r="E132" s="19">
        <v>365587</v>
      </c>
      <c r="F132" t="s">
        <v>92</v>
      </c>
      <c r="H132" s="7" t="str">
        <f>+VLOOKUP(F132,Categories!A:B,2,)</f>
        <v>Cleaning</v>
      </c>
      <c r="I132" s="3">
        <v>44.64</v>
      </c>
      <c r="L132" s="3">
        <v>5.36</v>
      </c>
      <c r="M132" s="3">
        <v>50</v>
      </c>
      <c r="N132" s="3">
        <v>2.5</v>
      </c>
      <c r="O132" s="3">
        <v>3.5000000000000004</v>
      </c>
      <c r="P132" s="3">
        <v>6</v>
      </c>
      <c r="Q132" t="s">
        <v>19</v>
      </c>
      <c r="R132" s="3">
        <v>56</v>
      </c>
      <c r="S132" s="7" t="s">
        <v>50</v>
      </c>
      <c r="T132" s="19">
        <v>49875</v>
      </c>
    </row>
    <row r="133" spans="1:20" ht="19.2" customHeight="1" x14ac:dyDescent="0.3">
      <c r="A133" s="5">
        <v>45716</v>
      </c>
      <c r="B133" t="s">
        <v>97</v>
      </c>
      <c r="C133" s="19">
        <v>1117</v>
      </c>
      <c r="D133" s="20">
        <v>3600242223</v>
      </c>
      <c r="E133" s="19">
        <v>365591</v>
      </c>
      <c r="F133" t="s">
        <v>92</v>
      </c>
      <c r="H133" s="7" t="str">
        <f>+VLOOKUP(F133,Categories!A:B,2,)</f>
        <v>Cleaning</v>
      </c>
      <c r="I133" s="3">
        <v>44.64</v>
      </c>
      <c r="L133" s="3">
        <v>5.36</v>
      </c>
      <c r="M133" s="3">
        <v>50</v>
      </c>
      <c r="N133" s="3">
        <v>2.5</v>
      </c>
      <c r="O133" s="3">
        <v>3.5000000000000004</v>
      </c>
      <c r="P133" s="3">
        <v>6</v>
      </c>
      <c r="Q133" t="s">
        <v>19</v>
      </c>
      <c r="R133" s="3">
        <v>56</v>
      </c>
      <c r="S133" s="7" t="s">
        <v>50</v>
      </c>
      <c r="T133" s="19">
        <v>50006</v>
      </c>
    </row>
    <row r="134" spans="1:20" ht="19.2" customHeight="1" x14ac:dyDescent="0.3">
      <c r="A134" s="5">
        <v>45716</v>
      </c>
      <c r="B134" t="s">
        <v>97</v>
      </c>
      <c r="C134" s="19">
        <v>1117</v>
      </c>
      <c r="D134" s="20">
        <v>3600242223</v>
      </c>
      <c r="E134" s="19">
        <v>365606</v>
      </c>
      <c r="F134" t="s">
        <v>92</v>
      </c>
      <c r="H134" s="7" t="str">
        <f>+VLOOKUP(F134,Categories!A:B,2,)</f>
        <v>Cleaning</v>
      </c>
      <c r="I134" s="3">
        <v>44.64</v>
      </c>
      <c r="L134" s="3">
        <v>5.36</v>
      </c>
      <c r="M134" s="3">
        <v>50</v>
      </c>
      <c r="N134" s="3">
        <v>2.5</v>
      </c>
      <c r="O134" s="3">
        <v>3.5000000000000004</v>
      </c>
      <c r="P134" s="3">
        <v>6</v>
      </c>
      <c r="Q134" t="s">
        <v>19</v>
      </c>
      <c r="R134" s="3">
        <v>56</v>
      </c>
      <c r="S134" s="7" t="s">
        <v>50</v>
      </c>
      <c r="T134" s="19">
        <v>50565</v>
      </c>
    </row>
    <row r="135" spans="1:20" ht="19.2" customHeight="1" x14ac:dyDescent="0.3">
      <c r="A135" s="5">
        <v>45716</v>
      </c>
      <c r="B135" s="7" t="s">
        <v>96</v>
      </c>
      <c r="C135" s="19">
        <v>1078</v>
      </c>
      <c r="D135" s="20">
        <v>3600242224</v>
      </c>
      <c r="E135" s="19">
        <v>318867</v>
      </c>
      <c r="F135" t="s">
        <v>88</v>
      </c>
      <c r="H135" s="7" t="str">
        <f>+VLOOKUP(F135,Categories!A:B,2,)</f>
        <v>Hardware &amp; OTA</v>
      </c>
      <c r="I135" s="3">
        <v>234.77</v>
      </c>
      <c r="L135" s="3">
        <v>85.98</v>
      </c>
      <c r="M135" s="3">
        <v>320.75</v>
      </c>
      <c r="N135" s="3">
        <v>16.037500000000001</v>
      </c>
      <c r="O135" s="3">
        <v>22.452500000000001</v>
      </c>
      <c r="P135" s="3">
        <v>38.49</v>
      </c>
      <c r="Q135" t="s">
        <v>19</v>
      </c>
      <c r="R135" s="3">
        <v>359.24</v>
      </c>
      <c r="S135" s="7" t="s">
        <v>50</v>
      </c>
      <c r="T135" s="19">
        <v>44818</v>
      </c>
    </row>
    <row r="136" spans="1:20" ht="19.2" customHeight="1" x14ac:dyDescent="0.3">
      <c r="A136" s="5">
        <v>45716</v>
      </c>
      <c r="B136" s="7" t="s">
        <v>96</v>
      </c>
      <c r="C136" s="19">
        <v>1078</v>
      </c>
      <c r="D136" s="20">
        <v>3600242224</v>
      </c>
      <c r="E136" s="19">
        <v>318926</v>
      </c>
      <c r="F136" t="s">
        <v>93</v>
      </c>
      <c r="H136" s="7" t="str">
        <f>+VLOOKUP(F136,Categories!A:B,2,)</f>
        <v>Hardware &amp; OTA</v>
      </c>
      <c r="I136" s="3">
        <v>171.95</v>
      </c>
      <c r="L136" s="3">
        <v>0</v>
      </c>
      <c r="M136" s="3">
        <v>171.95</v>
      </c>
      <c r="N136" s="3">
        <v>8.5975000000000001</v>
      </c>
      <c r="O136" s="3">
        <v>12.0365</v>
      </c>
      <c r="P136" s="3">
        <v>20.634</v>
      </c>
      <c r="Q136" t="s">
        <v>19</v>
      </c>
      <c r="R136" s="3">
        <v>192.584</v>
      </c>
      <c r="S136" s="7" t="s">
        <v>50</v>
      </c>
      <c r="T136" s="19" t="s">
        <v>113</v>
      </c>
    </row>
    <row r="137" spans="1:20" ht="19.2" customHeight="1" x14ac:dyDescent="0.3">
      <c r="A137" s="5">
        <v>45716</v>
      </c>
      <c r="B137" s="7" t="s">
        <v>96</v>
      </c>
      <c r="C137" s="19">
        <v>1078</v>
      </c>
      <c r="D137" s="20">
        <v>3600242224</v>
      </c>
      <c r="E137" s="19">
        <v>318923</v>
      </c>
      <c r="F137" t="s">
        <v>93</v>
      </c>
      <c r="H137" s="7" t="str">
        <f>+VLOOKUP(F137,Categories!A:B,2,)</f>
        <v>Hardware &amp; OTA</v>
      </c>
      <c r="I137" s="3">
        <v>171.95</v>
      </c>
      <c r="L137" s="3">
        <v>0</v>
      </c>
      <c r="M137" s="3">
        <v>171.95</v>
      </c>
      <c r="N137" s="3">
        <v>8.5975000000000001</v>
      </c>
      <c r="O137" s="3">
        <v>12.0365</v>
      </c>
      <c r="P137" s="3">
        <v>20.634</v>
      </c>
      <c r="Q137" t="s">
        <v>19</v>
      </c>
      <c r="R137" s="3">
        <v>192.584</v>
      </c>
      <c r="S137" s="7" t="s">
        <v>50</v>
      </c>
      <c r="T137" s="19">
        <v>45254</v>
      </c>
    </row>
    <row r="138" spans="1:20" ht="19.2" customHeight="1" x14ac:dyDescent="0.3">
      <c r="A138" s="5">
        <v>45716</v>
      </c>
      <c r="B138" s="7" t="s">
        <v>96</v>
      </c>
      <c r="C138" s="19">
        <v>1078</v>
      </c>
      <c r="D138" s="20">
        <v>3600242224</v>
      </c>
      <c r="E138" s="19">
        <v>318922</v>
      </c>
      <c r="F138" t="s">
        <v>93</v>
      </c>
      <c r="H138" s="7" t="str">
        <f>+VLOOKUP(F138,Categories!A:B,2,)</f>
        <v>Hardware &amp; OTA</v>
      </c>
      <c r="I138" s="3">
        <v>171.95</v>
      </c>
      <c r="L138" s="3">
        <v>0</v>
      </c>
      <c r="M138" s="3">
        <v>171.95</v>
      </c>
      <c r="N138" s="3">
        <v>8.5975000000000001</v>
      </c>
      <c r="O138" s="3">
        <v>12.0365</v>
      </c>
      <c r="P138" s="3">
        <v>20.634</v>
      </c>
      <c r="Q138" t="s">
        <v>19</v>
      </c>
      <c r="R138" s="3">
        <v>192.584</v>
      </c>
      <c r="S138" s="7" t="s">
        <v>50</v>
      </c>
      <c r="T138" s="19">
        <v>28907</v>
      </c>
    </row>
    <row r="139" spans="1:20" ht="19.2" customHeight="1" x14ac:dyDescent="0.3">
      <c r="A139" s="5">
        <v>45716</v>
      </c>
      <c r="B139" s="7" t="s">
        <v>96</v>
      </c>
      <c r="C139" s="19">
        <v>1078</v>
      </c>
      <c r="D139" s="20">
        <v>3600242224</v>
      </c>
      <c r="E139" s="19">
        <v>318925</v>
      </c>
      <c r="F139" t="s">
        <v>93</v>
      </c>
      <c r="H139" s="7" t="str">
        <f>+VLOOKUP(F139,Categories!A:B,2,)</f>
        <v>Hardware &amp; OTA</v>
      </c>
      <c r="I139" s="3">
        <v>171.95</v>
      </c>
      <c r="L139" s="3">
        <v>0</v>
      </c>
      <c r="M139" s="3">
        <v>171.95</v>
      </c>
      <c r="N139" s="3">
        <v>8.5975000000000001</v>
      </c>
      <c r="O139" s="3">
        <v>12.0365</v>
      </c>
      <c r="P139" s="3">
        <v>20.634</v>
      </c>
      <c r="Q139" t="s">
        <v>19</v>
      </c>
      <c r="R139" s="3">
        <v>192.584</v>
      </c>
      <c r="S139" s="7" t="s">
        <v>50</v>
      </c>
      <c r="T139" s="19">
        <v>29083</v>
      </c>
    </row>
    <row r="140" spans="1:20" ht="19.2" customHeight="1" x14ac:dyDescent="0.3">
      <c r="A140" s="9">
        <v>46106</v>
      </c>
      <c r="B140" s="7" t="s">
        <v>94</v>
      </c>
      <c r="C140" s="19">
        <v>1122</v>
      </c>
      <c r="D140" s="20">
        <v>3600271657</v>
      </c>
      <c r="E140" s="12">
        <v>704725</v>
      </c>
      <c r="F140" s="7" t="s">
        <v>114</v>
      </c>
      <c r="H140" s="7" t="s">
        <v>121</v>
      </c>
      <c r="I140" s="14">
        <f>291+388</f>
        <v>679</v>
      </c>
      <c r="J140" s="14">
        <v>0</v>
      </c>
      <c r="K140" s="14">
        <v>0</v>
      </c>
      <c r="L140" s="14">
        <v>0</v>
      </c>
      <c r="M140" s="16">
        <f>+I140+J140+K140-L140</f>
        <v>679</v>
      </c>
      <c r="N140" s="14">
        <f>+M140*0.05</f>
        <v>33.950000000000003</v>
      </c>
      <c r="O140" s="14">
        <f>+M140*0.07</f>
        <v>47.53</v>
      </c>
      <c r="P140" s="14">
        <f>+N140+O140</f>
        <v>81.48</v>
      </c>
      <c r="Q140" s="7" t="str">
        <f>+IFERROR(+IF(AND(N140&gt;0,O140=0),"GST ONLY",IF(AND(N140&gt;0,O140&gt;=0),"GST + PST","NO TAX")),"")</f>
        <v>GST + PST</v>
      </c>
      <c r="R140" s="14">
        <f>+ROUND(P140+M140,2)</f>
        <v>760.48</v>
      </c>
      <c r="S140" s="7" t="s">
        <v>50</v>
      </c>
      <c r="T140" s="12" t="s">
        <v>115</v>
      </c>
    </row>
    <row r="141" spans="1:20" ht="19.2" customHeight="1" x14ac:dyDescent="0.3">
      <c r="A141" s="9">
        <v>46093</v>
      </c>
      <c r="B141" s="7" t="s">
        <v>94</v>
      </c>
      <c r="C141" s="19">
        <v>1122</v>
      </c>
      <c r="D141" s="20">
        <v>3600270795</v>
      </c>
      <c r="E141" s="12">
        <v>699272</v>
      </c>
      <c r="F141" s="7" t="s">
        <v>36</v>
      </c>
      <c r="G141" s="7"/>
      <c r="H141" s="7" t="str">
        <f>+VLOOKUP(F141,Categories!A:B,2,)</f>
        <v>Fuel &amp; Recharge</v>
      </c>
      <c r="I141" s="14">
        <v>0</v>
      </c>
      <c r="J141" s="14">
        <v>0</v>
      </c>
      <c r="K141" s="14">
        <v>1067.3399999999999</v>
      </c>
      <c r="L141" s="14">
        <v>0</v>
      </c>
      <c r="M141" s="16">
        <f t="shared" ref="M141" si="13">+I141+J141+K141-L141</f>
        <v>1067.3399999999999</v>
      </c>
      <c r="N141" s="14">
        <v>57.12</v>
      </c>
      <c r="O141" s="14">
        <v>79.959999999999994</v>
      </c>
      <c r="P141" s="14">
        <f t="shared" ref="P141" si="14">+N141+O141</f>
        <v>137.07999999999998</v>
      </c>
      <c r="Q141" s="7" t="str">
        <f t="shared" ref="Q141" si="15">+IFERROR(+IF(AND(N141&gt;0,O141=0),"GST ONLY",IF(AND(N141&gt;0,O141&gt;=0),"GST + PST","NO TAX")),"")</f>
        <v>GST + PST</v>
      </c>
      <c r="R141" s="14">
        <f t="shared" ref="R141" si="16">+ROUND(P141+M141,2)</f>
        <v>1204.42</v>
      </c>
      <c r="S141" s="7" t="s">
        <v>50</v>
      </c>
      <c r="T141" s="12">
        <v>50706</v>
      </c>
    </row>
    <row r="142" spans="1:20" ht="19.2" customHeight="1" x14ac:dyDescent="0.3">
      <c r="A142" s="9">
        <f>+IF([1]Consolidation!A142=0,"",[1]Consolidation!A142)</f>
        <v>46113</v>
      </c>
      <c r="B142" s="7" t="str">
        <f>+[1]Consolidation!B142</f>
        <v>Destination Toyota Burnaby</v>
      </c>
      <c r="C142" s="19">
        <f>+[1]Consolidation!C142</f>
        <v>1122</v>
      </c>
      <c r="D142" s="20" t="str">
        <f>+[1]Consolidation!D142</f>
        <v>3600272601</v>
      </c>
      <c r="E142" s="12">
        <f>+[1]Consolidation!E142</f>
        <v>705462</v>
      </c>
      <c r="F142" s="7" t="str">
        <f>+[1]Consolidation!F142</f>
        <v>Tire Replacement</v>
      </c>
      <c r="G142" s="7"/>
      <c r="H142" s="7" t="str">
        <f>+[1]Consolidation!H142</f>
        <v>Tires &amp; Wheels</v>
      </c>
      <c r="I142" s="14">
        <f>+[1]Consolidation!I142</f>
        <v>35</v>
      </c>
      <c r="J142" s="14">
        <f>+[1]Consolidation!J142</f>
        <v>51.5</v>
      </c>
      <c r="K142" s="14">
        <f>+[1]Consolidation!K142</f>
        <v>413.09</v>
      </c>
      <c r="L142" s="14">
        <f>+[1]Consolidation!L142</f>
        <v>0</v>
      </c>
      <c r="M142" s="16">
        <f>+[1]Consolidation!M142</f>
        <v>499.59</v>
      </c>
      <c r="N142" s="14">
        <f>+[1]Consolidation!N142</f>
        <v>22.68</v>
      </c>
      <c r="O142" s="14">
        <f>+[1]Consolidation!O142</f>
        <v>31.75</v>
      </c>
      <c r="P142" s="14">
        <f>+[1]Consolidation!P142</f>
        <v>54.43</v>
      </c>
      <c r="Q142" s="7" t="str">
        <f>+[1]Consolidation!Q142</f>
        <v>GST + PST</v>
      </c>
      <c r="R142" s="14">
        <f>+[1]Consolidation!R142</f>
        <v>554.02</v>
      </c>
      <c r="S142" s="7" t="str">
        <f>+[1]Consolidation!S142</f>
        <v>bZ4X</v>
      </c>
      <c r="T142" s="12">
        <f>+[1]Consolidation!T142</f>
        <v>50253</v>
      </c>
    </row>
    <row r="143" spans="1:20" ht="19.2" customHeight="1" x14ac:dyDescent="0.3">
      <c r="A143" s="9">
        <f>+IF([1]Consolidation!A143=0,"",[1]Consolidation!A143)</f>
        <v>46113</v>
      </c>
      <c r="B143" s="7" t="str">
        <f>+[1]Consolidation!B143</f>
        <v>Destination Toyota Burnaby</v>
      </c>
      <c r="C143" s="19">
        <f>+[1]Consolidation!C143</f>
        <v>1122</v>
      </c>
      <c r="D143" s="20" t="str">
        <f>+[1]Consolidation!D143</f>
        <v>3600272601</v>
      </c>
      <c r="E143" s="12">
        <f>+[1]Consolidation!E143</f>
        <v>705462</v>
      </c>
      <c r="F143" s="7" t="str">
        <f>+[1]Consolidation!F143</f>
        <v>Recharge</v>
      </c>
      <c r="G143" s="7"/>
      <c r="H143" s="7" t="str">
        <f>+[1]Consolidation!H143</f>
        <v>Fuel &amp; Recharge</v>
      </c>
      <c r="I143" s="14">
        <f>+[1]Consolidation!I143</f>
        <v>0</v>
      </c>
      <c r="J143" s="14">
        <f>+[1]Consolidation!J143</f>
        <v>45</v>
      </c>
      <c r="K143" s="14">
        <f>+[1]Consolidation!K143</f>
        <v>0</v>
      </c>
      <c r="L143" s="14">
        <f>+[1]Consolidation!L143</f>
        <v>0</v>
      </c>
      <c r="M143" s="16">
        <f>+[1]Consolidation!M143</f>
        <v>45</v>
      </c>
      <c r="N143" s="14">
        <f>+[1]Consolidation!N143</f>
        <v>0</v>
      </c>
      <c r="O143" s="14">
        <f>+[1]Consolidation!O143</f>
        <v>0</v>
      </c>
      <c r="P143" s="14">
        <f>+[1]Consolidation!P143</f>
        <v>0</v>
      </c>
      <c r="Q143" s="7" t="str">
        <f>+[1]Consolidation!Q143</f>
        <v>NO TAX</v>
      </c>
      <c r="R143" s="14">
        <f>+[1]Consolidation!R143</f>
        <v>45</v>
      </c>
      <c r="S143" s="7" t="str">
        <f>+[1]Consolidation!S143</f>
        <v>bZ4X</v>
      </c>
      <c r="T143" s="12">
        <f>+[1]Consolidation!T143</f>
        <v>50253</v>
      </c>
    </row>
    <row r="144" spans="1:20" ht="19.2" customHeight="1" x14ac:dyDescent="0.3">
      <c r="A144" s="9" t="str">
        <f>+IF([1]Consolidation!A144=0,"",[1]Consolidation!A144)</f>
        <v/>
      </c>
      <c r="B144" s="7">
        <f>+[1]Consolidation!B144</f>
        <v>0</v>
      </c>
      <c r="C144" s="19">
        <f>+[1]Consolidation!C144</f>
        <v>0</v>
      </c>
      <c r="D144" s="20">
        <f>+[1]Consolidation!D144</f>
        <v>0</v>
      </c>
      <c r="E144" s="12">
        <f>+[1]Consolidation!E144</f>
        <v>0</v>
      </c>
      <c r="F144" s="7">
        <f>+[1]Consolidation!F144</f>
        <v>0</v>
      </c>
      <c r="G144" s="7"/>
      <c r="H144" s="7">
        <f>+[1]Consolidation!H144</f>
        <v>0</v>
      </c>
      <c r="I144" s="14">
        <f>+[1]Consolidation!I144</f>
        <v>0</v>
      </c>
      <c r="J144" s="14">
        <f>+[1]Consolidation!J144</f>
        <v>0</v>
      </c>
      <c r="K144" s="14">
        <f>+[1]Consolidation!K144</f>
        <v>0</v>
      </c>
      <c r="L144" s="14">
        <f>+[1]Consolidation!L144</f>
        <v>0</v>
      </c>
      <c r="M144" s="16">
        <f>+[1]Consolidation!M144</f>
        <v>0</v>
      </c>
      <c r="N144" s="14">
        <f>+[1]Consolidation!N144</f>
        <v>0</v>
      </c>
      <c r="O144" s="14">
        <f>+[1]Consolidation!O144</f>
        <v>0</v>
      </c>
      <c r="P144" s="14">
        <f>+[1]Consolidation!P144</f>
        <v>0</v>
      </c>
      <c r="Q144" s="7">
        <f>+[1]Consolidation!Q144</f>
        <v>0</v>
      </c>
      <c r="R144" s="14">
        <f>+[1]Consolidation!R144</f>
        <v>0</v>
      </c>
      <c r="S144" s="7">
        <f>+[1]Consolidation!S144</f>
        <v>0</v>
      </c>
      <c r="T144" s="12">
        <f>+[1]Consolidation!T144</f>
        <v>0</v>
      </c>
    </row>
    <row r="145" spans="1:20" ht="19.2" customHeight="1" x14ac:dyDescent="0.3">
      <c r="A145" s="9" t="str">
        <f>+IF([1]Consolidation!A145=0,"",[1]Consolidation!A145)</f>
        <v/>
      </c>
      <c r="B145" s="7">
        <f>+[1]Consolidation!B145</f>
        <v>0</v>
      </c>
      <c r="C145" s="19">
        <f>+[1]Consolidation!C145</f>
        <v>0</v>
      </c>
      <c r="D145" s="20">
        <f>+[1]Consolidation!D145</f>
        <v>0</v>
      </c>
      <c r="E145" s="12">
        <f>+[1]Consolidation!E145</f>
        <v>0</v>
      </c>
      <c r="F145" s="7">
        <f>+[1]Consolidation!F145</f>
        <v>0</v>
      </c>
      <c r="G145" s="7"/>
      <c r="H145" s="7">
        <f>+[1]Consolidation!H145</f>
        <v>0</v>
      </c>
      <c r="I145" s="14">
        <f>+[1]Consolidation!I145</f>
        <v>0</v>
      </c>
      <c r="J145" s="14">
        <f>+[1]Consolidation!J145</f>
        <v>0</v>
      </c>
      <c r="K145" s="14">
        <f>+[1]Consolidation!K145</f>
        <v>0</v>
      </c>
      <c r="L145" s="14">
        <f>+[1]Consolidation!L145</f>
        <v>0</v>
      </c>
      <c r="M145" s="16">
        <f>+[1]Consolidation!M145</f>
        <v>0</v>
      </c>
      <c r="N145" s="14">
        <f>+[1]Consolidation!N145</f>
        <v>0</v>
      </c>
      <c r="O145" s="14">
        <f>+[1]Consolidation!O145</f>
        <v>0</v>
      </c>
      <c r="P145" s="14">
        <f>+[1]Consolidation!P145</f>
        <v>0</v>
      </c>
      <c r="Q145" s="7">
        <f>+[1]Consolidation!Q145</f>
        <v>0</v>
      </c>
      <c r="R145" s="14">
        <f>+[1]Consolidation!R145</f>
        <v>0</v>
      </c>
      <c r="S145" s="7">
        <f>+[1]Consolidation!S145</f>
        <v>0</v>
      </c>
      <c r="T145" s="12">
        <f>+[1]Consolidation!T145</f>
        <v>0</v>
      </c>
    </row>
    <row r="146" spans="1:20" ht="19.2" customHeight="1" x14ac:dyDescent="0.3">
      <c r="A146" s="9" t="str">
        <f>+IF([1]Consolidation!A146=0,"",[1]Consolidation!A146)</f>
        <v/>
      </c>
      <c r="B146" s="7">
        <f>+[1]Consolidation!B146</f>
        <v>0</v>
      </c>
      <c r="C146" s="19">
        <f>+[1]Consolidation!C146</f>
        <v>0</v>
      </c>
      <c r="D146" s="20">
        <f>+[1]Consolidation!D146</f>
        <v>0</v>
      </c>
      <c r="E146" s="12">
        <f>+[1]Consolidation!E146</f>
        <v>0</v>
      </c>
      <c r="F146" s="7">
        <f>+[1]Consolidation!F146</f>
        <v>0</v>
      </c>
      <c r="G146" s="7"/>
      <c r="H146" s="7">
        <f>+[1]Consolidation!H146</f>
        <v>0</v>
      </c>
      <c r="I146" s="14">
        <f>+[1]Consolidation!I146</f>
        <v>0</v>
      </c>
      <c r="J146" s="14">
        <f>+[1]Consolidation!J146</f>
        <v>0</v>
      </c>
      <c r="K146" s="14">
        <f>+[1]Consolidation!K146</f>
        <v>0</v>
      </c>
      <c r="L146" s="14">
        <f>+[1]Consolidation!L146</f>
        <v>0</v>
      </c>
      <c r="M146" s="16">
        <f>+[1]Consolidation!M146</f>
        <v>0</v>
      </c>
      <c r="N146" s="14">
        <f>+[1]Consolidation!N146</f>
        <v>0</v>
      </c>
      <c r="O146" s="14">
        <f>+[1]Consolidation!O146</f>
        <v>0</v>
      </c>
      <c r="P146" s="14">
        <f>+[1]Consolidation!P146</f>
        <v>0</v>
      </c>
      <c r="Q146" s="7">
        <f>+[1]Consolidation!Q146</f>
        <v>0</v>
      </c>
      <c r="R146" s="14">
        <f>+[1]Consolidation!R146</f>
        <v>0</v>
      </c>
      <c r="S146" s="7">
        <f>+[1]Consolidation!S146</f>
        <v>0</v>
      </c>
      <c r="T146" s="12">
        <f>+[1]Consolidation!T146</f>
        <v>0</v>
      </c>
    </row>
    <row r="147" spans="1:20" ht="19.2" customHeight="1" x14ac:dyDescent="0.3">
      <c r="A147" s="9" t="str">
        <f>+IF([1]Consolidation!A147=0,"",[1]Consolidation!A147)</f>
        <v/>
      </c>
      <c r="B147" s="7">
        <f>+[1]Consolidation!B147</f>
        <v>0</v>
      </c>
      <c r="C147" s="19">
        <f>+[1]Consolidation!C147</f>
        <v>0</v>
      </c>
      <c r="D147" s="20">
        <f>+[1]Consolidation!D147</f>
        <v>0</v>
      </c>
      <c r="E147" s="12">
        <f>+[1]Consolidation!E147</f>
        <v>0</v>
      </c>
      <c r="F147" s="7">
        <f>+[1]Consolidation!F147</f>
        <v>0</v>
      </c>
      <c r="G147" s="7"/>
      <c r="H147" s="7">
        <f>+[1]Consolidation!H147</f>
        <v>0</v>
      </c>
      <c r="I147" s="14">
        <f>+[1]Consolidation!I147</f>
        <v>0</v>
      </c>
      <c r="J147" s="14">
        <f>+[1]Consolidation!J147</f>
        <v>0</v>
      </c>
      <c r="K147" s="14">
        <f>+[1]Consolidation!K147</f>
        <v>0</v>
      </c>
      <c r="L147" s="14">
        <f>+[1]Consolidation!L147</f>
        <v>0</v>
      </c>
      <c r="M147" s="16">
        <f>+[1]Consolidation!M147</f>
        <v>0</v>
      </c>
      <c r="N147" s="14">
        <f>+[1]Consolidation!N147</f>
        <v>0</v>
      </c>
      <c r="O147" s="14">
        <f>+[1]Consolidation!O147</f>
        <v>0</v>
      </c>
      <c r="P147" s="14">
        <f>+[1]Consolidation!P147</f>
        <v>0</v>
      </c>
      <c r="Q147" s="7">
        <f>+[1]Consolidation!Q147</f>
        <v>0</v>
      </c>
      <c r="R147" s="14">
        <f>+[1]Consolidation!R147</f>
        <v>0</v>
      </c>
      <c r="S147" s="7">
        <f>+[1]Consolidation!S147</f>
        <v>0</v>
      </c>
      <c r="T147" s="12">
        <f>+[1]Consolidation!T147</f>
        <v>0</v>
      </c>
    </row>
    <row r="148" spans="1:20" ht="19.2" customHeight="1" x14ac:dyDescent="0.3">
      <c r="A148" s="9" t="str">
        <f>+IF([1]Consolidation!A148=0,"",[1]Consolidation!A148)</f>
        <v/>
      </c>
      <c r="B148" s="7">
        <f>+[1]Consolidation!B148</f>
        <v>0</v>
      </c>
      <c r="C148" s="19">
        <f>+[1]Consolidation!C148</f>
        <v>0</v>
      </c>
      <c r="D148" s="20">
        <f>+[1]Consolidation!D148</f>
        <v>0</v>
      </c>
      <c r="E148" s="12">
        <f>+[1]Consolidation!E148</f>
        <v>0</v>
      </c>
      <c r="F148" s="7">
        <f>+[1]Consolidation!F148</f>
        <v>0</v>
      </c>
      <c r="G148" s="7"/>
      <c r="H148" s="7">
        <f>+[1]Consolidation!H148</f>
        <v>0</v>
      </c>
      <c r="I148" s="14">
        <f>+[1]Consolidation!I148</f>
        <v>0</v>
      </c>
      <c r="J148" s="14">
        <f>+[1]Consolidation!J148</f>
        <v>0</v>
      </c>
      <c r="K148" s="14">
        <f>+[1]Consolidation!K148</f>
        <v>0</v>
      </c>
      <c r="L148" s="14">
        <f>+[1]Consolidation!L148</f>
        <v>0</v>
      </c>
      <c r="M148" s="16">
        <f>+[1]Consolidation!M148</f>
        <v>0</v>
      </c>
      <c r="N148" s="14">
        <f>+[1]Consolidation!N148</f>
        <v>0</v>
      </c>
      <c r="O148" s="14">
        <f>+[1]Consolidation!O148</f>
        <v>0</v>
      </c>
      <c r="P148" s="14">
        <f>+[1]Consolidation!P148</f>
        <v>0</v>
      </c>
      <c r="Q148" s="7">
        <f>+[1]Consolidation!Q148</f>
        <v>0</v>
      </c>
      <c r="R148" s="14">
        <f>+[1]Consolidation!R148</f>
        <v>0</v>
      </c>
      <c r="S148" s="7">
        <f>+[1]Consolidation!S148</f>
        <v>0</v>
      </c>
      <c r="T148" s="12">
        <f>+[1]Consolidation!T148</f>
        <v>0</v>
      </c>
    </row>
    <row r="149" spans="1:20" ht="19.2" customHeight="1" x14ac:dyDescent="0.3">
      <c r="A149" s="9" t="str">
        <f>+IF([1]Consolidation!A149=0,"",[1]Consolidation!A149)</f>
        <v/>
      </c>
      <c r="B149" s="7">
        <f>+[1]Consolidation!B149</f>
        <v>0</v>
      </c>
      <c r="C149" s="19">
        <f>+[1]Consolidation!C149</f>
        <v>0</v>
      </c>
      <c r="D149" s="20">
        <f>+[1]Consolidation!D149</f>
        <v>0</v>
      </c>
      <c r="E149" s="12">
        <f>+[1]Consolidation!E149</f>
        <v>0</v>
      </c>
      <c r="F149" s="7">
        <f>+[1]Consolidation!F149</f>
        <v>0</v>
      </c>
      <c r="G149" s="7"/>
      <c r="H149" s="7">
        <f>+[1]Consolidation!H149</f>
        <v>0</v>
      </c>
      <c r="I149" s="14">
        <f>+[1]Consolidation!I149</f>
        <v>0</v>
      </c>
      <c r="J149" s="14">
        <f>+[1]Consolidation!J149</f>
        <v>0</v>
      </c>
      <c r="K149" s="14">
        <f>+[1]Consolidation!K149</f>
        <v>0</v>
      </c>
      <c r="L149" s="14">
        <f>+[1]Consolidation!L149</f>
        <v>0</v>
      </c>
      <c r="M149" s="16">
        <f>+[1]Consolidation!M149</f>
        <v>0</v>
      </c>
      <c r="N149" s="14">
        <f>+[1]Consolidation!N149</f>
        <v>0</v>
      </c>
      <c r="O149" s="14">
        <f>+[1]Consolidation!O149</f>
        <v>0</v>
      </c>
      <c r="P149" s="14">
        <f>+[1]Consolidation!P149</f>
        <v>0</v>
      </c>
      <c r="Q149" s="7">
        <f>+[1]Consolidation!Q149</f>
        <v>0</v>
      </c>
      <c r="R149" s="14">
        <f>+[1]Consolidation!R149</f>
        <v>0</v>
      </c>
      <c r="S149" s="7">
        <f>+[1]Consolidation!S149</f>
        <v>0</v>
      </c>
      <c r="T149" s="12">
        <f>+[1]Consolidation!T149</f>
        <v>0</v>
      </c>
    </row>
    <row r="150" spans="1:20" ht="19.2" customHeight="1" x14ac:dyDescent="0.3">
      <c r="A150" s="9" t="str">
        <f>+IF([1]Consolidation!A150=0,"",[1]Consolidation!A150)</f>
        <v/>
      </c>
      <c r="B150" s="7">
        <f>+[1]Consolidation!B150</f>
        <v>0</v>
      </c>
      <c r="C150" s="19">
        <f>+[1]Consolidation!C150</f>
        <v>0</v>
      </c>
      <c r="D150" s="20">
        <f>+[1]Consolidation!D150</f>
        <v>0</v>
      </c>
      <c r="E150" s="12">
        <f>+[1]Consolidation!E150</f>
        <v>0</v>
      </c>
      <c r="F150" s="7">
        <f>+[1]Consolidation!F150</f>
        <v>0</v>
      </c>
      <c r="G150" s="7"/>
      <c r="H150" s="7">
        <f>+[1]Consolidation!H150</f>
        <v>0</v>
      </c>
      <c r="I150" s="14">
        <f>+[1]Consolidation!I150</f>
        <v>0</v>
      </c>
      <c r="J150" s="14">
        <f>+[1]Consolidation!J150</f>
        <v>0</v>
      </c>
      <c r="K150" s="14">
        <f>+[1]Consolidation!K150</f>
        <v>0</v>
      </c>
      <c r="L150" s="14">
        <f>+[1]Consolidation!L150</f>
        <v>0</v>
      </c>
      <c r="M150" s="16">
        <f>+[1]Consolidation!M150</f>
        <v>0</v>
      </c>
      <c r="N150" s="14">
        <f>+[1]Consolidation!N150</f>
        <v>0</v>
      </c>
      <c r="O150" s="14">
        <f>+[1]Consolidation!O150</f>
        <v>0</v>
      </c>
      <c r="P150" s="14">
        <f>+[1]Consolidation!P150</f>
        <v>0</v>
      </c>
      <c r="Q150" s="7">
        <f>+[1]Consolidation!Q150</f>
        <v>0</v>
      </c>
      <c r="R150" s="14">
        <f>+[1]Consolidation!R150</f>
        <v>0</v>
      </c>
      <c r="S150" s="7">
        <f>+[1]Consolidation!S150</f>
        <v>0</v>
      </c>
      <c r="T150" s="12">
        <f>+[1]Consolidation!T150</f>
        <v>0</v>
      </c>
    </row>
    <row r="151" spans="1:20" ht="19.2" customHeight="1" x14ac:dyDescent="0.3">
      <c r="A151" s="9" t="str">
        <f>+IF([1]Consolidation!A151=0,"",[1]Consolidation!A151)</f>
        <v/>
      </c>
      <c r="B151" s="7">
        <f>+[1]Consolidation!B151</f>
        <v>0</v>
      </c>
      <c r="C151" s="19">
        <f>+[1]Consolidation!C151</f>
        <v>0</v>
      </c>
      <c r="D151" s="20">
        <f>+[1]Consolidation!D151</f>
        <v>0</v>
      </c>
      <c r="E151" s="12">
        <f>+[1]Consolidation!E151</f>
        <v>0</v>
      </c>
      <c r="F151" s="7">
        <f>+[1]Consolidation!F151</f>
        <v>0</v>
      </c>
      <c r="G151" s="7"/>
      <c r="H151" s="7">
        <f>+[1]Consolidation!H151</f>
        <v>0</v>
      </c>
      <c r="I151" s="14">
        <f>+[1]Consolidation!I151</f>
        <v>0</v>
      </c>
      <c r="J151" s="14">
        <f>+[1]Consolidation!J151</f>
        <v>0</v>
      </c>
      <c r="K151" s="14">
        <f>+[1]Consolidation!K151</f>
        <v>0</v>
      </c>
      <c r="L151" s="14">
        <f>+[1]Consolidation!L151</f>
        <v>0</v>
      </c>
      <c r="M151" s="16">
        <f>+[1]Consolidation!M151</f>
        <v>0</v>
      </c>
      <c r="N151" s="14">
        <f>+[1]Consolidation!N151</f>
        <v>0</v>
      </c>
      <c r="O151" s="14">
        <f>+[1]Consolidation!O151</f>
        <v>0</v>
      </c>
      <c r="P151" s="14">
        <f>+[1]Consolidation!P151</f>
        <v>0</v>
      </c>
      <c r="Q151" s="7">
        <f>+[1]Consolidation!Q151</f>
        <v>0</v>
      </c>
      <c r="R151" s="14">
        <f>+[1]Consolidation!R151</f>
        <v>0</v>
      </c>
      <c r="S151" s="7">
        <f>+[1]Consolidation!S151</f>
        <v>0</v>
      </c>
      <c r="T151" s="12">
        <f>+[1]Consolidation!T151</f>
        <v>0</v>
      </c>
    </row>
    <row r="152" spans="1:20" ht="19.2" customHeight="1" x14ac:dyDescent="0.3">
      <c r="A152" s="9" t="str">
        <f>+IF([1]Consolidation!A152=0,"",[1]Consolidation!A152)</f>
        <v/>
      </c>
      <c r="B152" s="7">
        <f>+[1]Consolidation!B152</f>
        <v>0</v>
      </c>
      <c r="C152" s="19">
        <f>+[1]Consolidation!C152</f>
        <v>0</v>
      </c>
      <c r="D152" s="20">
        <f>+[1]Consolidation!D152</f>
        <v>0</v>
      </c>
      <c r="E152" s="12">
        <f>+[1]Consolidation!E152</f>
        <v>0</v>
      </c>
      <c r="F152" s="7">
        <f>+[1]Consolidation!F152</f>
        <v>0</v>
      </c>
      <c r="G152" s="7"/>
      <c r="H152" s="7">
        <f>+[1]Consolidation!H152</f>
        <v>0</v>
      </c>
      <c r="I152" s="14">
        <f>+[1]Consolidation!I152</f>
        <v>0</v>
      </c>
      <c r="J152" s="14">
        <f>+[1]Consolidation!J152</f>
        <v>0</v>
      </c>
      <c r="K152" s="14">
        <f>+[1]Consolidation!K152</f>
        <v>0</v>
      </c>
      <c r="L152" s="14">
        <f>+[1]Consolidation!L152</f>
        <v>0</v>
      </c>
      <c r="M152" s="16">
        <f>+[1]Consolidation!M152</f>
        <v>0</v>
      </c>
      <c r="N152" s="14">
        <f>+[1]Consolidation!N152</f>
        <v>0</v>
      </c>
      <c r="O152" s="14">
        <f>+[1]Consolidation!O152</f>
        <v>0</v>
      </c>
      <c r="P152" s="14">
        <f>+[1]Consolidation!P152</f>
        <v>0</v>
      </c>
      <c r="Q152" s="7">
        <f>+[1]Consolidation!Q152</f>
        <v>0</v>
      </c>
      <c r="R152" s="14">
        <f>+[1]Consolidation!R152</f>
        <v>0</v>
      </c>
      <c r="S152" s="7">
        <f>+[1]Consolidation!S152</f>
        <v>0</v>
      </c>
      <c r="T152" s="12">
        <f>+[1]Consolidation!T152</f>
        <v>0</v>
      </c>
    </row>
    <row r="153" spans="1:20" ht="19.2" customHeight="1" x14ac:dyDescent="0.3">
      <c r="A153" s="9" t="str">
        <f>+IF([1]Consolidation!A153=0,"",[1]Consolidation!A153)</f>
        <v/>
      </c>
      <c r="B153" s="7">
        <f>+[1]Consolidation!B153</f>
        <v>0</v>
      </c>
      <c r="C153" s="19">
        <f>+[1]Consolidation!C153</f>
        <v>0</v>
      </c>
      <c r="D153" s="20">
        <f>+[1]Consolidation!D153</f>
        <v>0</v>
      </c>
      <c r="E153" s="12">
        <f>+[1]Consolidation!E153</f>
        <v>0</v>
      </c>
      <c r="F153" s="7">
        <f>+[1]Consolidation!F153</f>
        <v>0</v>
      </c>
      <c r="G153" s="7"/>
      <c r="H153" s="7">
        <f>+[1]Consolidation!H153</f>
        <v>0</v>
      </c>
      <c r="I153" s="14">
        <f>+[1]Consolidation!I153</f>
        <v>0</v>
      </c>
      <c r="J153" s="14">
        <f>+[1]Consolidation!J153</f>
        <v>0</v>
      </c>
      <c r="K153" s="14">
        <f>+[1]Consolidation!K153</f>
        <v>0</v>
      </c>
      <c r="L153" s="14">
        <f>+[1]Consolidation!L153</f>
        <v>0</v>
      </c>
      <c r="M153" s="16">
        <f>+[1]Consolidation!M153</f>
        <v>0</v>
      </c>
      <c r="N153" s="14">
        <f>+[1]Consolidation!N153</f>
        <v>0</v>
      </c>
      <c r="O153" s="14">
        <f>+[1]Consolidation!O153</f>
        <v>0</v>
      </c>
      <c r="P153" s="14">
        <f>+[1]Consolidation!P153</f>
        <v>0</v>
      </c>
      <c r="Q153" s="7">
        <f>+[1]Consolidation!Q153</f>
        <v>0</v>
      </c>
      <c r="R153" s="14">
        <f>+[1]Consolidation!R153</f>
        <v>0</v>
      </c>
      <c r="S153" s="7">
        <f>+[1]Consolidation!S153</f>
        <v>0</v>
      </c>
      <c r="T153" s="12">
        <f>+[1]Consolidation!T153</f>
        <v>0</v>
      </c>
    </row>
    <row r="154" spans="1:20" ht="19.2" customHeight="1" x14ac:dyDescent="0.3">
      <c r="A154" s="9" t="str">
        <f>+IF([1]Consolidation!A154=0,"",[1]Consolidation!A154)</f>
        <v/>
      </c>
      <c r="B154" s="7">
        <f>+[1]Consolidation!B154</f>
        <v>0</v>
      </c>
      <c r="C154" s="19">
        <f>+[1]Consolidation!C154</f>
        <v>0</v>
      </c>
      <c r="D154" s="20">
        <f>+[1]Consolidation!D154</f>
        <v>0</v>
      </c>
      <c r="E154" s="12">
        <f>+[1]Consolidation!E154</f>
        <v>0</v>
      </c>
      <c r="F154" s="7">
        <f>+[1]Consolidation!F154</f>
        <v>0</v>
      </c>
      <c r="G154" s="7"/>
      <c r="H154" s="7">
        <f>+[1]Consolidation!H154</f>
        <v>0</v>
      </c>
      <c r="I154" s="14">
        <f>+[1]Consolidation!I154</f>
        <v>0</v>
      </c>
      <c r="J154" s="14">
        <f>+[1]Consolidation!J154</f>
        <v>0</v>
      </c>
      <c r="K154" s="14">
        <f>+[1]Consolidation!K154</f>
        <v>0</v>
      </c>
      <c r="L154" s="14">
        <f>+[1]Consolidation!L154</f>
        <v>0</v>
      </c>
      <c r="M154" s="16">
        <f>+[1]Consolidation!M154</f>
        <v>0</v>
      </c>
      <c r="N154" s="14">
        <f>+[1]Consolidation!N154</f>
        <v>0</v>
      </c>
      <c r="O154" s="14">
        <f>+[1]Consolidation!O154</f>
        <v>0</v>
      </c>
      <c r="P154" s="14">
        <f>+[1]Consolidation!P154</f>
        <v>0</v>
      </c>
      <c r="Q154" s="7">
        <f>+[1]Consolidation!Q154</f>
        <v>0</v>
      </c>
      <c r="R154" s="14">
        <f>+[1]Consolidation!R154</f>
        <v>0</v>
      </c>
      <c r="S154" s="7">
        <f>+[1]Consolidation!S154</f>
        <v>0</v>
      </c>
      <c r="T154" s="12">
        <f>+[1]Consolidation!T154</f>
        <v>0</v>
      </c>
    </row>
    <row r="155" spans="1:20" ht="19.2" customHeight="1" x14ac:dyDescent="0.3">
      <c r="A155" s="9" t="str">
        <f>+IF([1]Consolidation!A155=0,"",[1]Consolidation!A155)</f>
        <v/>
      </c>
      <c r="B155" s="7">
        <f>+[1]Consolidation!B155</f>
        <v>0</v>
      </c>
      <c r="C155" s="19">
        <f>+[1]Consolidation!C155</f>
        <v>0</v>
      </c>
      <c r="D155" s="20">
        <f>+[1]Consolidation!D155</f>
        <v>0</v>
      </c>
      <c r="E155" s="12">
        <f>+[1]Consolidation!E155</f>
        <v>0</v>
      </c>
      <c r="F155" s="7">
        <f>+[1]Consolidation!F155</f>
        <v>0</v>
      </c>
      <c r="G155" s="7"/>
      <c r="H155" s="7">
        <f>+[1]Consolidation!H155</f>
        <v>0</v>
      </c>
      <c r="I155" s="14">
        <f>+[1]Consolidation!I155</f>
        <v>0</v>
      </c>
      <c r="J155" s="14">
        <f>+[1]Consolidation!J155</f>
        <v>0</v>
      </c>
      <c r="K155" s="14">
        <f>+[1]Consolidation!K155</f>
        <v>0</v>
      </c>
      <c r="L155" s="14">
        <f>+[1]Consolidation!L155</f>
        <v>0</v>
      </c>
      <c r="M155" s="16">
        <f>+[1]Consolidation!M155</f>
        <v>0</v>
      </c>
      <c r="N155" s="14">
        <f>+[1]Consolidation!N155</f>
        <v>0</v>
      </c>
      <c r="O155" s="14">
        <f>+[1]Consolidation!O155</f>
        <v>0</v>
      </c>
      <c r="P155" s="14">
        <f>+[1]Consolidation!P155</f>
        <v>0</v>
      </c>
      <c r="Q155" s="7">
        <f>+[1]Consolidation!Q155</f>
        <v>0</v>
      </c>
      <c r="R155" s="14">
        <f>+[1]Consolidation!R155</f>
        <v>0</v>
      </c>
      <c r="S155" s="7">
        <f>+[1]Consolidation!S155</f>
        <v>0</v>
      </c>
      <c r="T155" s="12">
        <f>+[1]Consolidation!T155</f>
        <v>0</v>
      </c>
    </row>
    <row r="156" spans="1:20" ht="19.2" customHeight="1" x14ac:dyDescent="0.3">
      <c r="A156" s="9" t="str">
        <f>+IF([1]Consolidation!A156=0,"",[1]Consolidation!A156)</f>
        <v/>
      </c>
      <c r="B156" s="7">
        <f>+[1]Consolidation!B156</f>
        <v>0</v>
      </c>
      <c r="C156" s="19">
        <f>+[1]Consolidation!C156</f>
        <v>0</v>
      </c>
      <c r="D156" s="20">
        <f>+[1]Consolidation!D156</f>
        <v>0</v>
      </c>
      <c r="E156" s="12">
        <f>+[1]Consolidation!E156</f>
        <v>0</v>
      </c>
      <c r="F156" s="7">
        <f>+[1]Consolidation!F156</f>
        <v>0</v>
      </c>
      <c r="G156" s="7"/>
      <c r="H156" s="7">
        <f>+[1]Consolidation!H156</f>
        <v>0</v>
      </c>
      <c r="I156" s="14">
        <f>+[1]Consolidation!I156</f>
        <v>0</v>
      </c>
      <c r="J156" s="14">
        <f>+[1]Consolidation!J156</f>
        <v>0</v>
      </c>
      <c r="K156" s="14">
        <f>+[1]Consolidation!K156</f>
        <v>0</v>
      </c>
      <c r="L156" s="14">
        <f>+[1]Consolidation!L156</f>
        <v>0</v>
      </c>
      <c r="M156" s="16">
        <f>+[1]Consolidation!M156</f>
        <v>0</v>
      </c>
      <c r="N156" s="14">
        <f>+[1]Consolidation!N156</f>
        <v>0</v>
      </c>
      <c r="O156" s="14">
        <f>+[1]Consolidation!O156</f>
        <v>0</v>
      </c>
      <c r="P156" s="14">
        <f>+[1]Consolidation!P156</f>
        <v>0</v>
      </c>
      <c r="Q156" s="7">
        <f>+[1]Consolidation!Q156</f>
        <v>0</v>
      </c>
      <c r="R156" s="14">
        <f>+[1]Consolidation!R156</f>
        <v>0</v>
      </c>
      <c r="S156" s="7">
        <f>+[1]Consolidation!S156</f>
        <v>0</v>
      </c>
      <c r="T156" s="12">
        <f>+[1]Consolidation!T156</f>
        <v>0</v>
      </c>
    </row>
    <row r="157" spans="1:20" ht="19.2" customHeight="1" x14ac:dyDescent="0.3">
      <c r="A157" s="9" t="str">
        <f>+IF([1]Consolidation!A157=0,"",[1]Consolidation!A157)</f>
        <v/>
      </c>
      <c r="B157" s="7">
        <f>+[1]Consolidation!B157</f>
        <v>0</v>
      </c>
      <c r="C157" s="19">
        <f>+[1]Consolidation!C157</f>
        <v>0</v>
      </c>
      <c r="D157" s="20">
        <f>+[1]Consolidation!D157</f>
        <v>0</v>
      </c>
      <c r="E157" s="12">
        <f>+[1]Consolidation!E157</f>
        <v>0</v>
      </c>
      <c r="F157" s="7">
        <f>+[1]Consolidation!F157</f>
        <v>0</v>
      </c>
      <c r="G157" s="7"/>
      <c r="H157" s="7">
        <f>+[1]Consolidation!H157</f>
        <v>0</v>
      </c>
      <c r="I157" s="14">
        <f>+[1]Consolidation!I157</f>
        <v>0</v>
      </c>
      <c r="J157" s="14">
        <f>+[1]Consolidation!J157</f>
        <v>0</v>
      </c>
      <c r="K157" s="14">
        <f>+[1]Consolidation!K157</f>
        <v>0</v>
      </c>
      <c r="L157" s="14">
        <f>+[1]Consolidation!L157</f>
        <v>0</v>
      </c>
      <c r="M157" s="16">
        <f>+[1]Consolidation!M157</f>
        <v>0</v>
      </c>
      <c r="N157" s="14">
        <f>+[1]Consolidation!N157</f>
        <v>0</v>
      </c>
      <c r="O157" s="14">
        <f>+[1]Consolidation!O157</f>
        <v>0</v>
      </c>
      <c r="P157" s="14">
        <f>+[1]Consolidation!P157</f>
        <v>0</v>
      </c>
      <c r="Q157" s="7">
        <f>+[1]Consolidation!Q157</f>
        <v>0</v>
      </c>
      <c r="R157" s="14">
        <f>+[1]Consolidation!R157</f>
        <v>0</v>
      </c>
      <c r="S157" s="7">
        <f>+[1]Consolidation!S157</f>
        <v>0</v>
      </c>
      <c r="T157" s="12">
        <f>+[1]Consolidation!T157</f>
        <v>0</v>
      </c>
    </row>
    <row r="158" spans="1:20" ht="19.2" customHeight="1" x14ac:dyDescent="0.3">
      <c r="A158" s="9" t="str">
        <f>+IF([1]Consolidation!A158=0,"",[1]Consolidation!A158)</f>
        <v/>
      </c>
      <c r="B158" s="7">
        <f>+[1]Consolidation!B158</f>
        <v>0</v>
      </c>
      <c r="C158" s="19">
        <f>+[1]Consolidation!C158</f>
        <v>0</v>
      </c>
      <c r="D158" s="20">
        <f>+[1]Consolidation!D158</f>
        <v>0</v>
      </c>
      <c r="E158" s="12">
        <f>+[1]Consolidation!E158</f>
        <v>0</v>
      </c>
      <c r="F158" s="7">
        <f>+[1]Consolidation!F158</f>
        <v>0</v>
      </c>
      <c r="G158" s="7"/>
      <c r="H158" s="7">
        <f>+[1]Consolidation!H158</f>
        <v>0</v>
      </c>
      <c r="I158" s="14">
        <f>+[1]Consolidation!I158</f>
        <v>0</v>
      </c>
      <c r="J158" s="14">
        <f>+[1]Consolidation!J158</f>
        <v>0</v>
      </c>
      <c r="K158" s="14">
        <f>+[1]Consolidation!K158</f>
        <v>0</v>
      </c>
      <c r="L158" s="14">
        <f>+[1]Consolidation!L158</f>
        <v>0</v>
      </c>
      <c r="M158" s="16">
        <f>+[1]Consolidation!M158</f>
        <v>0</v>
      </c>
      <c r="N158" s="14">
        <f>+[1]Consolidation!N158</f>
        <v>0</v>
      </c>
      <c r="O158" s="14">
        <f>+[1]Consolidation!O158</f>
        <v>0</v>
      </c>
      <c r="P158" s="14">
        <f>+[1]Consolidation!P158</f>
        <v>0</v>
      </c>
      <c r="Q158" s="7">
        <f>+[1]Consolidation!Q158</f>
        <v>0</v>
      </c>
      <c r="R158" s="14">
        <f>+[1]Consolidation!R158</f>
        <v>0</v>
      </c>
      <c r="S158" s="7">
        <f>+[1]Consolidation!S158</f>
        <v>0</v>
      </c>
      <c r="T158" s="12">
        <f>+[1]Consolidation!T158</f>
        <v>0</v>
      </c>
    </row>
    <row r="159" spans="1:20" ht="19.2" customHeight="1" x14ac:dyDescent="0.3">
      <c r="A159" s="9" t="str">
        <f>+IF([1]Consolidation!A159=0,"",[1]Consolidation!A159)</f>
        <v/>
      </c>
      <c r="B159" s="7">
        <f>+[1]Consolidation!B159</f>
        <v>0</v>
      </c>
      <c r="C159" s="19">
        <f>+[1]Consolidation!C159</f>
        <v>0</v>
      </c>
      <c r="D159" s="20">
        <f>+[1]Consolidation!D159</f>
        <v>0</v>
      </c>
      <c r="E159" s="12">
        <f>+[1]Consolidation!E159</f>
        <v>0</v>
      </c>
      <c r="F159" s="7">
        <f>+[1]Consolidation!F159</f>
        <v>0</v>
      </c>
      <c r="G159" s="7"/>
      <c r="H159" s="7">
        <f>+[1]Consolidation!H159</f>
        <v>0</v>
      </c>
      <c r="I159" s="14">
        <f>+[1]Consolidation!I159</f>
        <v>0</v>
      </c>
      <c r="J159" s="14">
        <f>+[1]Consolidation!J159</f>
        <v>0</v>
      </c>
      <c r="K159" s="14">
        <f>+[1]Consolidation!K159</f>
        <v>0</v>
      </c>
      <c r="L159" s="14">
        <f>+[1]Consolidation!L159</f>
        <v>0</v>
      </c>
      <c r="M159" s="16">
        <f>+[1]Consolidation!M159</f>
        <v>0</v>
      </c>
      <c r="N159" s="14">
        <f>+[1]Consolidation!N159</f>
        <v>0</v>
      </c>
      <c r="O159" s="14">
        <f>+[1]Consolidation!O159</f>
        <v>0</v>
      </c>
      <c r="P159" s="14">
        <f>+[1]Consolidation!P159</f>
        <v>0</v>
      </c>
      <c r="Q159" s="7">
        <f>+[1]Consolidation!Q159</f>
        <v>0</v>
      </c>
      <c r="R159" s="14">
        <f>+[1]Consolidation!R159</f>
        <v>0</v>
      </c>
      <c r="S159" s="7">
        <f>+[1]Consolidation!S159</f>
        <v>0</v>
      </c>
      <c r="T159" s="12">
        <f>+[1]Consolidation!T159</f>
        <v>0</v>
      </c>
    </row>
    <row r="160" spans="1:20" ht="19.2" customHeight="1" x14ac:dyDescent="0.3">
      <c r="A160" s="9" t="str">
        <f>+IF([1]Consolidation!A160=0,"",[1]Consolidation!A160)</f>
        <v/>
      </c>
      <c r="B160" s="7">
        <f>+[1]Consolidation!B160</f>
        <v>0</v>
      </c>
      <c r="C160" s="19">
        <f>+[1]Consolidation!C160</f>
        <v>0</v>
      </c>
      <c r="D160" s="20">
        <f>+[1]Consolidation!D160</f>
        <v>0</v>
      </c>
      <c r="E160" s="12">
        <f>+[1]Consolidation!E160</f>
        <v>0</v>
      </c>
      <c r="F160" s="7">
        <f>+[1]Consolidation!F160</f>
        <v>0</v>
      </c>
      <c r="G160" s="7"/>
      <c r="H160" s="7">
        <f>+[1]Consolidation!H160</f>
        <v>0</v>
      </c>
      <c r="I160" s="14">
        <f>+[1]Consolidation!I160</f>
        <v>0</v>
      </c>
      <c r="J160" s="14">
        <f>+[1]Consolidation!J160</f>
        <v>0</v>
      </c>
      <c r="K160" s="14">
        <f>+[1]Consolidation!K160</f>
        <v>0</v>
      </c>
      <c r="L160" s="14">
        <f>+[1]Consolidation!L160</f>
        <v>0</v>
      </c>
      <c r="M160" s="16">
        <f>+[1]Consolidation!M160</f>
        <v>0</v>
      </c>
      <c r="N160" s="14">
        <f>+[1]Consolidation!N160</f>
        <v>0</v>
      </c>
      <c r="O160" s="14">
        <f>+[1]Consolidation!O160</f>
        <v>0</v>
      </c>
      <c r="P160" s="14">
        <f>+[1]Consolidation!P160</f>
        <v>0</v>
      </c>
      <c r="Q160" s="7">
        <f>+[1]Consolidation!Q160</f>
        <v>0</v>
      </c>
      <c r="R160" s="14">
        <f>+[1]Consolidation!R160</f>
        <v>0</v>
      </c>
      <c r="S160" s="7">
        <f>+[1]Consolidation!S160</f>
        <v>0</v>
      </c>
      <c r="T160" s="12">
        <f>+[1]Consolidation!T160</f>
        <v>0</v>
      </c>
    </row>
    <row r="161" spans="1:20" ht="19.2" customHeight="1" x14ac:dyDescent="0.3">
      <c r="A161" s="9" t="str">
        <f>+IF([1]Consolidation!A161=0,"",[1]Consolidation!A161)</f>
        <v/>
      </c>
      <c r="B161" s="7">
        <f>+[1]Consolidation!B161</f>
        <v>0</v>
      </c>
      <c r="C161" s="19">
        <f>+[1]Consolidation!C161</f>
        <v>0</v>
      </c>
      <c r="D161" s="20">
        <f>+[1]Consolidation!D161</f>
        <v>0</v>
      </c>
      <c r="E161" s="12">
        <f>+[1]Consolidation!E161</f>
        <v>0</v>
      </c>
      <c r="F161" s="7">
        <f>+[1]Consolidation!F161</f>
        <v>0</v>
      </c>
      <c r="G161" s="7"/>
      <c r="H161" s="7">
        <f>+[1]Consolidation!H161</f>
        <v>0</v>
      </c>
      <c r="I161" s="14">
        <f>+[1]Consolidation!I161</f>
        <v>0</v>
      </c>
      <c r="J161" s="14">
        <f>+[1]Consolidation!J161</f>
        <v>0</v>
      </c>
      <c r="K161" s="14">
        <f>+[1]Consolidation!K161</f>
        <v>0</v>
      </c>
      <c r="L161" s="14">
        <f>+[1]Consolidation!L161</f>
        <v>0</v>
      </c>
      <c r="M161" s="16">
        <f>+[1]Consolidation!M161</f>
        <v>0</v>
      </c>
      <c r="N161" s="14">
        <f>+[1]Consolidation!N161</f>
        <v>0</v>
      </c>
      <c r="O161" s="14">
        <f>+[1]Consolidation!O161</f>
        <v>0</v>
      </c>
      <c r="P161" s="14">
        <f>+[1]Consolidation!P161</f>
        <v>0</v>
      </c>
      <c r="Q161" s="7">
        <f>+[1]Consolidation!Q161</f>
        <v>0</v>
      </c>
      <c r="R161" s="14">
        <f>+[1]Consolidation!R161</f>
        <v>0</v>
      </c>
      <c r="S161" s="7">
        <f>+[1]Consolidation!S161</f>
        <v>0</v>
      </c>
      <c r="T161" s="12">
        <f>+[1]Consolidation!T161</f>
        <v>0</v>
      </c>
    </row>
    <row r="162" spans="1:20" ht="19.2" customHeight="1" x14ac:dyDescent="0.3">
      <c r="A162" s="9" t="str">
        <f>+IF([1]Consolidation!A162=0,"",[1]Consolidation!A162)</f>
        <v/>
      </c>
      <c r="B162" s="7">
        <f>+[1]Consolidation!B162</f>
        <v>0</v>
      </c>
      <c r="C162" s="19">
        <f>+[1]Consolidation!C162</f>
        <v>0</v>
      </c>
      <c r="D162" s="20">
        <f>+[1]Consolidation!D162</f>
        <v>0</v>
      </c>
      <c r="E162" s="12">
        <f>+[1]Consolidation!E162</f>
        <v>0</v>
      </c>
      <c r="F162" s="7">
        <f>+[1]Consolidation!F162</f>
        <v>0</v>
      </c>
      <c r="G162" s="7"/>
      <c r="H162" s="7">
        <f>+[1]Consolidation!H162</f>
        <v>0</v>
      </c>
      <c r="I162" s="14">
        <f>+[1]Consolidation!I162</f>
        <v>0</v>
      </c>
      <c r="J162" s="14">
        <f>+[1]Consolidation!J162</f>
        <v>0</v>
      </c>
      <c r="K162" s="14">
        <f>+[1]Consolidation!K162</f>
        <v>0</v>
      </c>
      <c r="L162" s="14">
        <f>+[1]Consolidation!L162</f>
        <v>0</v>
      </c>
      <c r="M162" s="16">
        <f>+[1]Consolidation!M162</f>
        <v>0</v>
      </c>
      <c r="N162" s="14">
        <f>+[1]Consolidation!N162</f>
        <v>0</v>
      </c>
      <c r="O162" s="14">
        <f>+[1]Consolidation!O162</f>
        <v>0</v>
      </c>
      <c r="P162" s="14">
        <f>+[1]Consolidation!P162</f>
        <v>0</v>
      </c>
      <c r="Q162" s="7">
        <f>+[1]Consolidation!Q162</f>
        <v>0</v>
      </c>
      <c r="R162" s="14">
        <f>+[1]Consolidation!R162</f>
        <v>0</v>
      </c>
      <c r="S162" s="7">
        <f>+[1]Consolidation!S162</f>
        <v>0</v>
      </c>
      <c r="T162" s="12">
        <f>+[1]Consolidation!T162</f>
        <v>0</v>
      </c>
    </row>
    <row r="163" spans="1:20" ht="19.2" customHeight="1" x14ac:dyDescent="0.3">
      <c r="A163" s="9" t="str">
        <f>+IF([1]Consolidation!A163=0,"",[1]Consolidation!A163)</f>
        <v/>
      </c>
      <c r="B163" s="7">
        <f>+[1]Consolidation!B163</f>
        <v>0</v>
      </c>
      <c r="C163" s="19">
        <f>+[1]Consolidation!C163</f>
        <v>0</v>
      </c>
      <c r="D163" s="20">
        <f>+[1]Consolidation!D163</f>
        <v>0</v>
      </c>
      <c r="E163" s="12">
        <f>+[1]Consolidation!E163</f>
        <v>0</v>
      </c>
      <c r="F163" s="7">
        <f>+[1]Consolidation!F163</f>
        <v>0</v>
      </c>
      <c r="G163" s="7"/>
      <c r="H163" s="7">
        <f>+[1]Consolidation!H163</f>
        <v>0</v>
      </c>
      <c r="I163" s="14">
        <f>+[1]Consolidation!I163</f>
        <v>0</v>
      </c>
      <c r="J163" s="14">
        <f>+[1]Consolidation!J163</f>
        <v>0</v>
      </c>
      <c r="K163" s="14">
        <f>+[1]Consolidation!K163</f>
        <v>0</v>
      </c>
      <c r="L163" s="14">
        <f>+[1]Consolidation!L163</f>
        <v>0</v>
      </c>
      <c r="M163" s="16">
        <f>+[1]Consolidation!M163</f>
        <v>0</v>
      </c>
      <c r="N163" s="14">
        <f>+[1]Consolidation!N163</f>
        <v>0</v>
      </c>
      <c r="O163" s="14">
        <f>+[1]Consolidation!O163</f>
        <v>0</v>
      </c>
      <c r="P163" s="14">
        <f>+[1]Consolidation!P163</f>
        <v>0</v>
      </c>
      <c r="Q163" s="7">
        <f>+[1]Consolidation!Q163</f>
        <v>0</v>
      </c>
      <c r="R163" s="14">
        <f>+[1]Consolidation!R163</f>
        <v>0</v>
      </c>
      <c r="S163" s="7">
        <f>+[1]Consolidation!S163</f>
        <v>0</v>
      </c>
      <c r="T163" s="12">
        <f>+[1]Consolidation!T163</f>
        <v>0</v>
      </c>
    </row>
    <row r="164" spans="1:20" ht="19.2" customHeight="1" x14ac:dyDescent="0.3">
      <c r="A164" s="9" t="str">
        <f>+IF([1]Consolidation!A164=0,"",[1]Consolidation!A164)</f>
        <v/>
      </c>
      <c r="B164" s="7">
        <f>+[1]Consolidation!B164</f>
        <v>0</v>
      </c>
      <c r="C164" s="19">
        <f>+[1]Consolidation!C164</f>
        <v>0</v>
      </c>
      <c r="D164" s="20">
        <f>+[1]Consolidation!D164</f>
        <v>0</v>
      </c>
      <c r="E164" s="12">
        <f>+[1]Consolidation!E164</f>
        <v>0</v>
      </c>
      <c r="F164" s="7">
        <f>+[1]Consolidation!F164</f>
        <v>0</v>
      </c>
      <c r="G164" s="7"/>
      <c r="H164" s="7">
        <f>+[1]Consolidation!H164</f>
        <v>0</v>
      </c>
      <c r="I164" s="14">
        <f>+[1]Consolidation!I164</f>
        <v>0</v>
      </c>
      <c r="J164" s="14">
        <f>+[1]Consolidation!J164</f>
        <v>0</v>
      </c>
      <c r="K164" s="14">
        <f>+[1]Consolidation!K164</f>
        <v>0</v>
      </c>
      <c r="L164" s="14">
        <f>+[1]Consolidation!L164</f>
        <v>0</v>
      </c>
      <c r="M164" s="16">
        <f>+[1]Consolidation!M164</f>
        <v>0</v>
      </c>
      <c r="N164" s="14">
        <f>+[1]Consolidation!N164</f>
        <v>0</v>
      </c>
      <c r="O164" s="14">
        <f>+[1]Consolidation!O164</f>
        <v>0</v>
      </c>
      <c r="P164" s="14">
        <f>+[1]Consolidation!P164</f>
        <v>0</v>
      </c>
      <c r="Q164" s="7">
        <f>+[1]Consolidation!Q164</f>
        <v>0</v>
      </c>
      <c r="R164" s="14">
        <f>+[1]Consolidation!R164</f>
        <v>0</v>
      </c>
      <c r="S164" s="7">
        <f>+[1]Consolidation!S164</f>
        <v>0</v>
      </c>
      <c r="T164" s="12">
        <f>+[1]Consolidation!T164</f>
        <v>0</v>
      </c>
    </row>
    <row r="165" spans="1:20" ht="19.2" customHeight="1" x14ac:dyDescent="0.3">
      <c r="A165" s="9" t="str">
        <f>+IF([1]Consolidation!A165=0,"",[1]Consolidation!A165)</f>
        <v/>
      </c>
      <c r="B165" s="7">
        <f>+[1]Consolidation!B165</f>
        <v>0</v>
      </c>
      <c r="C165" s="19">
        <f>+[1]Consolidation!C165</f>
        <v>0</v>
      </c>
      <c r="D165" s="20">
        <f>+[1]Consolidation!D165</f>
        <v>0</v>
      </c>
      <c r="E165" s="12">
        <f>+[1]Consolidation!E165</f>
        <v>0</v>
      </c>
      <c r="F165" s="7">
        <f>+[1]Consolidation!F165</f>
        <v>0</v>
      </c>
      <c r="G165" s="7"/>
      <c r="H165" s="7">
        <f>+[1]Consolidation!H165</f>
        <v>0</v>
      </c>
      <c r="I165" s="14">
        <f>+[1]Consolidation!I165</f>
        <v>0</v>
      </c>
      <c r="J165" s="14">
        <f>+[1]Consolidation!J165</f>
        <v>0</v>
      </c>
      <c r="K165" s="14">
        <f>+[1]Consolidation!K165</f>
        <v>0</v>
      </c>
      <c r="L165" s="14">
        <f>+[1]Consolidation!L165</f>
        <v>0</v>
      </c>
      <c r="M165" s="16">
        <f>+[1]Consolidation!M165</f>
        <v>0</v>
      </c>
      <c r="N165" s="14">
        <f>+[1]Consolidation!N165</f>
        <v>0</v>
      </c>
      <c r="O165" s="14">
        <f>+[1]Consolidation!O165</f>
        <v>0</v>
      </c>
      <c r="P165" s="14">
        <f>+[1]Consolidation!P165</f>
        <v>0</v>
      </c>
      <c r="Q165" s="7">
        <f>+[1]Consolidation!Q165</f>
        <v>0</v>
      </c>
      <c r="R165" s="14">
        <f>+[1]Consolidation!R165</f>
        <v>0</v>
      </c>
      <c r="S165" s="7">
        <f>+[1]Consolidation!S165</f>
        <v>0</v>
      </c>
      <c r="T165" s="12">
        <f>+[1]Consolidation!T165</f>
        <v>0</v>
      </c>
    </row>
    <row r="166" spans="1:20" ht="19.2" customHeight="1" x14ac:dyDescent="0.3">
      <c r="A166" s="9" t="str">
        <f>+IF([1]Consolidation!A166=0,"",[1]Consolidation!A166)</f>
        <v/>
      </c>
      <c r="B166" s="7">
        <f>+[1]Consolidation!B166</f>
        <v>0</v>
      </c>
      <c r="C166" s="19">
        <f>+[1]Consolidation!C166</f>
        <v>0</v>
      </c>
      <c r="D166" s="20">
        <f>+[1]Consolidation!D166</f>
        <v>0</v>
      </c>
      <c r="E166" s="12">
        <f>+[1]Consolidation!E166</f>
        <v>0</v>
      </c>
      <c r="F166" s="7">
        <f>+[1]Consolidation!F166</f>
        <v>0</v>
      </c>
      <c r="G166" s="7"/>
      <c r="H166" s="7">
        <f>+[1]Consolidation!H166</f>
        <v>0</v>
      </c>
      <c r="I166" s="14">
        <f>+[1]Consolidation!I166</f>
        <v>0</v>
      </c>
      <c r="J166" s="14">
        <f>+[1]Consolidation!J166</f>
        <v>0</v>
      </c>
      <c r="K166" s="14">
        <f>+[1]Consolidation!K166</f>
        <v>0</v>
      </c>
      <c r="L166" s="14">
        <f>+[1]Consolidation!L166</f>
        <v>0</v>
      </c>
      <c r="M166" s="16">
        <f>+[1]Consolidation!M166</f>
        <v>0</v>
      </c>
      <c r="N166" s="14">
        <f>+[1]Consolidation!N166</f>
        <v>0</v>
      </c>
      <c r="O166" s="14">
        <f>+[1]Consolidation!O166</f>
        <v>0</v>
      </c>
      <c r="P166" s="14">
        <f>+[1]Consolidation!P166</f>
        <v>0</v>
      </c>
      <c r="Q166" s="7">
        <f>+[1]Consolidation!Q166</f>
        <v>0</v>
      </c>
      <c r="R166" s="14">
        <f>+[1]Consolidation!R166</f>
        <v>0</v>
      </c>
      <c r="S166" s="7">
        <f>+[1]Consolidation!S166</f>
        <v>0</v>
      </c>
      <c r="T166" s="12">
        <f>+[1]Consolidation!T166</f>
        <v>0</v>
      </c>
    </row>
    <row r="167" spans="1:20" ht="19.2" customHeight="1" x14ac:dyDescent="0.3">
      <c r="A167" s="9" t="str">
        <f>+IF([1]Consolidation!A167=0,"",[1]Consolidation!A167)</f>
        <v/>
      </c>
      <c r="B167" s="7">
        <f>+[1]Consolidation!B167</f>
        <v>0</v>
      </c>
      <c r="C167" s="19">
        <f>+[1]Consolidation!C167</f>
        <v>0</v>
      </c>
      <c r="D167" s="20">
        <f>+[1]Consolidation!D167</f>
        <v>0</v>
      </c>
      <c r="E167" s="12">
        <f>+[1]Consolidation!E167</f>
        <v>0</v>
      </c>
      <c r="F167" s="7">
        <f>+[1]Consolidation!F167</f>
        <v>0</v>
      </c>
      <c r="G167" s="7"/>
      <c r="H167" s="7">
        <f>+[1]Consolidation!H167</f>
        <v>0</v>
      </c>
      <c r="I167" s="14">
        <f>+[1]Consolidation!I167</f>
        <v>0</v>
      </c>
      <c r="J167" s="14">
        <f>+[1]Consolidation!J167</f>
        <v>0</v>
      </c>
      <c r="K167" s="14">
        <f>+[1]Consolidation!K167</f>
        <v>0</v>
      </c>
      <c r="L167" s="14">
        <f>+[1]Consolidation!L167</f>
        <v>0</v>
      </c>
      <c r="M167" s="16">
        <f>+[1]Consolidation!M167</f>
        <v>0</v>
      </c>
      <c r="N167" s="14">
        <f>+[1]Consolidation!N167</f>
        <v>0</v>
      </c>
      <c r="O167" s="14">
        <f>+[1]Consolidation!O167</f>
        <v>0</v>
      </c>
      <c r="P167" s="14">
        <f>+[1]Consolidation!P167</f>
        <v>0</v>
      </c>
      <c r="Q167" s="7">
        <f>+[1]Consolidation!Q167</f>
        <v>0</v>
      </c>
      <c r="R167" s="14">
        <f>+[1]Consolidation!R167</f>
        <v>0</v>
      </c>
      <c r="S167" s="7">
        <f>+[1]Consolidation!S167</f>
        <v>0</v>
      </c>
      <c r="T167" s="12">
        <f>+[1]Consolidation!T167</f>
        <v>0</v>
      </c>
    </row>
    <row r="168" spans="1:20" ht="19.2" customHeight="1" x14ac:dyDescent="0.3">
      <c r="A168" s="9" t="str">
        <f>+IF([1]Consolidation!A168=0,"",[1]Consolidation!A168)</f>
        <v/>
      </c>
      <c r="B168" s="7">
        <f>+[1]Consolidation!B168</f>
        <v>0</v>
      </c>
      <c r="C168" s="19">
        <f>+[1]Consolidation!C168</f>
        <v>0</v>
      </c>
      <c r="D168" s="20">
        <f>+[1]Consolidation!D168</f>
        <v>0</v>
      </c>
      <c r="E168" s="12">
        <f>+[1]Consolidation!E168</f>
        <v>0</v>
      </c>
      <c r="F168" s="7">
        <f>+[1]Consolidation!F168</f>
        <v>0</v>
      </c>
      <c r="G168" s="7"/>
      <c r="H168" s="7">
        <f>+[1]Consolidation!H168</f>
        <v>0</v>
      </c>
      <c r="I168" s="14">
        <f>+[1]Consolidation!I168</f>
        <v>0</v>
      </c>
      <c r="J168" s="14">
        <f>+[1]Consolidation!J168</f>
        <v>0</v>
      </c>
      <c r="K168" s="14">
        <f>+[1]Consolidation!K168</f>
        <v>0</v>
      </c>
      <c r="L168" s="14">
        <f>+[1]Consolidation!L168</f>
        <v>0</v>
      </c>
      <c r="M168" s="16">
        <f>+[1]Consolidation!M168</f>
        <v>0</v>
      </c>
      <c r="N168" s="14">
        <f>+[1]Consolidation!N168</f>
        <v>0</v>
      </c>
      <c r="O168" s="14">
        <f>+[1]Consolidation!O168</f>
        <v>0</v>
      </c>
      <c r="P168" s="14">
        <f>+[1]Consolidation!P168</f>
        <v>0</v>
      </c>
      <c r="Q168" s="7">
        <f>+[1]Consolidation!Q168</f>
        <v>0</v>
      </c>
      <c r="R168" s="14">
        <f>+[1]Consolidation!R168</f>
        <v>0</v>
      </c>
      <c r="S168" s="7">
        <f>+[1]Consolidation!S168</f>
        <v>0</v>
      </c>
      <c r="T168" s="12">
        <f>+[1]Consolidation!T168</f>
        <v>0</v>
      </c>
    </row>
    <row r="169" spans="1:20" ht="19.2" customHeight="1" x14ac:dyDescent="0.3">
      <c r="A169" s="9" t="str">
        <f>+IF([1]Consolidation!A169=0,"",[1]Consolidation!A169)</f>
        <v/>
      </c>
      <c r="B169" s="7">
        <f>+[1]Consolidation!B169</f>
        <v>0</v>
      </c>
      <c r="C169" s="19">
        <f>+[1]Consolidation!C169</f>
        <v>0</v>
      </c>
      <c r="D169" s="20">
        <f>+[1]Consolidation!D169</f>
        <v>0</v>
      </c>
      <c r="E169" s="12">
        <f>+[1]Consolidation!E169</f>
        <v>0</v>
      </c>
      <c r="F169" s="7">
        <f>+[1]Consolidation!F169</f>
        <v>0</v>
      </c>
      <c r="G169" s="7"/>
      <c r="H169" s="7">
        <f>+[1]Consolidation!H169</f>
        <v>0</v>
      </c>
      <c r="I169" s="14">
        <f>+[1]Consolidation!I169</f>
        <v>0</v>
      </c>
      <c r="J169" s="14">
        <f>+[1]Consolidation!J169</f>
        <v>0</v>
      </c>
      <c r="K169" s="14">
        <f>+[1]Consolidation!K169</f>
        <v>0</v>
      </c>
      <c r="L169" s="14">
        <f>+[1]Consolidation!L169</f>
        <v>0</v>
      </c>
      <c r="M169" s="16">
        <f>+[1]Consolidation!M169</f>
        <v>0</v>
      </c>
      <c r="N169" s="14">
        <f>+[1]Consolidation!N169</f>
        <v>0</v>
      </c>
      <c r="O169" s="14">
        <f>+[1]Consolidation!O169</f>
        <v>0</v>
      </c>
      <c r="P169" s="14">
        <f>+[1]Consolidation!P169</f>
        <v>0</v>
      </c>
      <c r="Q169" s="7">
        <f>+[1]Consolidation!Q169</f>
        <v>0</v>
      </c>
      <c r="R169" s="14">
        <f>+[1]Consolidation!R169</f>
        <v>0</v>
      </c>
      <c r="S169" s="7">
        <f>+[1]Consolidation!S169</f>
        <v>0</v>
      </c>
      <c r="T169" s="12">
        <f>+[1]Consolidation!T169</f>
        <v>0</v>
      </c>
    </row>
    <row r="170" spans="1:20" ht="19.2" customHeight="1" x14ac:dyDescent="0.3">
      <c r="A170" s="9" t="str">
        <f>+IF([1]Consolidation!A170=0,"",[1]Consolidation!A170)</f>
        <v/>
      </c>
      <c r="B170" s="7">
        <f>+[1]Consolidation!B170</f>
        <v>0</v>
      </c>
      <c r="C170" s="19">
        <f>+[1]Consolidation!C170</f>
        <v>0</v>
      </c>
      <c r="D170" s="20">
        <f>+[1]Consolidation!D170</f>
        <v>0</v>
      </c>
      <c r="E170" s="12">
        <f>+[1]Consolidation!E170</f>
        <v>0</v>
      </c>
      <c r="F170" s="7">
        <f>+[1]Consolidation!F170</f>
        <v>0</v>
      </c>
      <c r="G170" s="7"/>
      <c r="H170" s="7">
        <f>+[1]Consolidation!H170</f>
        <v>0</v>
      </c>
      <c r="I170" s="14">
        <f>+[1]Consolidation!I170</f>
        <v>0</v>
      </c>
      <c r="J170" s="14">
        <f>+[1]Consolidation!J170</f>
        <v>0</v>
      </c>
      <c r="K170" s="14">
        <f>+[1]Consolidation!K170</f>
        <v>0</v>
      </c>
      <c r="L170" s="14">
        <f>+[1]Consolidation!L170</f>
        <v>0</v>
      </c>
      <c r="M170" s="16">
        <f>+[1]Consolidation!M170</f>
        <v>0</v>
      </c>
      <c r="N170" s="14">
        <f>+[1]Consolidation!N170</f>
        <v>0</v>
      </c>
      <c r="O170" s="14">
        <f>+[1]Consolidation!O170</f>
        <v>0</v>
      </c>
      <c r="P170" s="14">
        <f>+[1]Consolidation!P170</f>
        <v>0</v>
      </c>
      <c r="Q170" s="7">
        <f>+[1]Consolidation!Q170</f>
        <v>0</v>
      </c>
      <c r="R170" s="14">
        <f>+[1]Consolidation!R170</f>
        <v>0</v>
      </c>
      <c r="S170" s="7">
        <f>+[1]Consolidation!S170</f>
        <v>0</v>
      </c>
      <c r="T170" s="12">
        <f>+[1]Consolidation!T170</f>
        <v>0</v>
      </c>
    </row>
    <row r="171" spans="1:20" ht="19.2" customHeight="1" x14ac:dyDescent="0.3">
      <c r="A171" s="9" t="str">
        <f>+IF([1]Consolidation!A171=0,"",[1]Consolidation!A171)</f>
        <v/>
      </c>
      <c r="B171" s="7">
        <f>+[1]Consolidation!B171</f>
        <v>0</v>
      </c>
      <c r="C171" s="19">
        <f>+[1]Consolidation!C171</f>
        <v>0</v>
      </c>
      <c r="D171" s="20">
        <f>+[1]Consolidation!D171</f>
        <v>0</v>
      </c>
      <c r="E171" s="12">
        <f>+[1]Consolidation!E171</f>
        <v>0</v>
      </c>
      <c r="F171" s="7">
        <f>+[1]Consolidation!F171</f>
        <v>0</v>
      </c>
      <c r="G171" s="7"/>
      <c r="H171" s="7">
        <f>+[1]Consolidation!H171</f>
        <v>0</v>
      </c>
      <c r="I171" s="14">
        <f>+[1]Consolidation!I171</f>
        <v>0</v>
      </c>
      <c r="J171" s="14">
        <f>+[1]Consolidation!J171</f>
        <v>0</v>
      </c>
      <c r="K171" s="14">
        <f>+[1]Consolidation!K171</f>
        <v>0</v>
      </c>
      <c r="L171" s="14">
        <f>+[1]Consolidation!L171</f>
        <v>0</v>
      </c>
      <c r="M171" s="16">
        <f>+[1]Consolidation!M171</f>
        <v>0</v>
      </c>
      <c r="N171" s="14">
        <f>+[1]Consolidation!N171</f>
        <v>0</v>
      </c>
      <c r="O171" s="14">
        <f>+[1]Consolidation!O171</f>
        <v>0</v>
      </c>
      <c r="P171" s="14">
        <f>+[1]Consolidation!P171</f>
        <v>0</v>
      </c>
      <c r="Q171" s="7">
        <f>+[1]Consolidation!Q171</f>
        <v>0</v>
      </c>
      <c r="R171" s="14">
        <f>+[1]Consolidation!R171</f>
        <v>0</v>
      </c>
      <c r="S171" s="7">
        <f>+[1]Consolidation!S171</f>
        <v>0</v>
      </c>
      <c r="T171" s="12">
        <f>+[1]Consolidation!T171</f>
        <v>0</v>
      </c>
    </row>
    <row r="172" spans="1:20" ht="19.2" customHeight="1" x14ac:dyDescent="0.3">
      <c r="A172" s="9" t="str">
        <f>+IF([1]Consolidation!A172=0,"",[1]Consolidation!A172)</f>
        <v/>
      </c>
      <c r="B172" s="7">
        <f>+[1]Consolidation!B172</f>
        <v>0</v>
      </c>
      <c r="C172" s="19">
        <f>+[1]Consolidation!C172</f>
        <v>0</v>
      </c>
      <c r="D172" s="20">
        <f>+[1]Consolidation!D172</f>
        <v>0</v>
      </c>
      <c r="E172" s="12">
        <f>+[1]Consolidation!E172</f>
        <v>0</v>
      </c>
      <c r="F172" s="7">
        <f>+[1]Consolidation!F172</f>
        <v>0</v>
      </c>
      <c r="G172" s="7"/>
      <c r="H172" s="7">
        <f>+[1]Consolidation!H172</f>
        <v>0</v>
      </c>
      <c r="I172" s="14">
        <f>+[1]Consolidation!I172</f>
        <v>0</v>
      </c>
      <c r="J172" s="14">
        <f>+[1]Consolidation!J172</f>
        <v>0</v>
      </c>
      <c r="K172" s="14">
        <f>+[1]Consolidation!K172</f>
        <v>0</v>
      </c>
      <c r="L172" s="14">
        <f>+[1]Consolidation!L172</f>
        <v>0</v>
      </c>
      <c r="M172" s="16">
        <f>+[1]Consolidation!M172</f>
        <v>0</v>
      </c>
      <c r="N172" s="14">
        <f>+[1]Consolidation!N172</f>
        <v>0</v>
      </c>
      <c r="O172" s="14">
        <f>+[1]Consolidation!O172</f>
        <v>0</v>
      </c>
      <c r="P172" s="14">
        <f>+[1]Consolidation!P172</f>
        <v>0</v>
      </c>
      <c r="Q172" s="7">
        <f>+[1]Consolidation!Q172</f>
        <v>0</v>
      </c>
      <c r="R172" s="14">
        <f>+[1]Consolidation!R172</f>
        <v>0</v>
      </c>
      <c r="S172" s="7">
        <f>+[1]Consolidation!S172</f>
        <v>0</v>
      </c>
      <c r="T172" s="12">
        <f>+[1]Consolidation!T172</f>
        <v>0</v>
      </c>
    </row>
    <row r="173" spans="1:20" ht="19.2" customHeight="1" x14ac:dyDescent="0.3">
      <c r="A173" s="9" t="str">
        <f>+IF([1]Consolidation!A173=0,"",[1]Consolidation!A173)</f>
        <v/>
      </c>
      <c r="B173" s="7">
        <f>+[1]Consolidation!B173</f>
        <v>0</v>
      </c>
      <c r="C173" s="19">
        <f>+[1]Consolidation!C173</f>
        <v>0</v>
      </c>
      <c r="D173" s="20">
        <f>+[1]Consolidation!D173</f>
        <v>0</v>
      </c>
      <c r="E173" s="12">
        <f>+[1]Consolidation!E173</f>
        <v>0</v>
      </c>
      <c r="F173" s="7">
        <f>+[1]Consolidation!F173</f>
        <v>0</v>
      </c>
      <c r="G173" s="7"/>
      <c r="H173" s="7">
        <f>+[1]Consolidation!H173</f>
        <v>0</v>
      </c>
      <c r="I173" s="14">
        <f>+[1]Consolidation!I173</f>
        <v>0</v>
      </c>
      <c r="J173" s="14">
        <f>+[1]Consolidation!J173</f>
        <v>0</v>
      </c>
      <c r="K173" s="14">
        <f>+[1]Consolidation!K173</f>
        <v>0</v>
      </c>
      <c r="L173" s="14">
        <f>+[1]Consolidation!L173</f>
        <v>0</v>
      </c>
      <c r="M173" s="16">
        <f>+[1]Consolidation!M173</f>
        <v>0</v>
      </c>
      <c r="N173" s="14">
        <f>+[1]Consolidation!N173</f>
        <v>0</v>
      </c>
      <c r="O173" s="14">
        <f>+[1]Consolidation!O173</f>
        <v>0</v>
      </c>
      <c r="P173" s="14">
        <f>+[1]Consolidation!P173</f>
        <v>0</v>
      </c>
      <c r="Q173" s="7">
        <f>+[1]Consolidation!Q173</f>
        <v>0</v>
      </c>
      <c r="R173" s="14">
        <f>+[1]Consolidation!R173</f>
        <v>0</v>
      </c>
      <c r="S173" s="7">
        <f>+[1]Consolidation!S173</f>
        <v>0</v>
      </c>
      <c r="T173" s="12">
        <f>+[1]Consolidation!T173</f>
        <v>0</v>
      </c>
    </row>
    <row r="174" spans="1:20" ht="19.2" customHeight="1" x14ac:dyDescent="0.3">
      <c r="A174" s="9" t="str">
        <f>+IF([1]Consolidation!A174=0,"",[1]Consolidation!A174)</f>
        <v/>
      </c>
      <c r="B174" s="7">
        <f>+[1]Consolidation!B174</f>
        <v>0</v>
      </c>
      <c r="C174" s="19">
        <f>+[1]Consolidation!C174</f>
        <v>0</v>
      </c>
      <c r="D174" s="20">
        <f>+[1]Consolidation!D174</f>
        <v>0</v>
      </c>
      <c r="E174" s="12">
        <f>+[1]Consolidation!E174</f>
        <v>0</v>
      </c>
      <c r="F174" s="7">
        <f>+[1]Consolidation!F174</f>
        <v>0</v>
      </c>
      <c r="G174" s="7"/>
      <c r="H174" s="7">
        <f>+[1]Consolidation!H174</f>
        <v>0</v>
      </c>
      <c r="I174" s="14">
        <f>+[1]Consolidation!I174</f>
        <v>0</v>
      </c>
      <c r="J174" s="14">
        <f>+[1]Consolidation!J174</f>
        <v>0</v>
      </c>
      <c r="K174" s="14">
        <f>+[1]Consolidation!K174</f>
        <v>0</v>
      </c>
      <c r="L174" s="14">
        <f>+[1]Consolidation!L174</f>
        <v>0</v>
      </c>
      <c r="M174" s="16">
        <f>+[1]Consolidation!M174</f>
        <v>0</v>
      </c>
      <c r="N174" s="14">
        <f>+[1]Consolidation!N174</f>
        <v>0</v>
      </c>
      <c r="O174" s="14">
        <f>+[1]Consolidation!O174</f>
        <v>0</v>
      </c>
      <c r="P174" s="14">
        <f>+[1]Consolidation!P174</f>
        <v>0</v>
      </c>
      <c r="Q174" s="7">
        <f>+[1]Consolidation!Q174</f>
        <v>0</v>
      </c>
      <c r="R174" s="14">
        <f>+[1]Consolidation!R174</f>
        <v>0</v>
      </c>
      <c r="S174" s="7">
        <f>+[1]Consolidation!S174</f>
        <v>0</v>
      </c>
      <c r="T174" s="12">
        <f>+[1]Consolidation!T174</f>
        <v>0</v>
      </c>
    </row>
    <row r="175" spans="1:20" ht="19.2" customHeight="1" x14ac:dyDescent="0.3">
      <c r="A175" s="9" t="str">
        <f>+IF([1]Consolidation!A175=0,"",[1]Consolidation!A175)</f>
        <v/>
      </c>
      <c r="B175" s="7">
        <f>+[1]Consolidation!B175</f>
        <v>0</v>
      </c>
      <c r="C175" s="19">
        <f>+[1]Consolidation!C175</f>
        <v>0</v>
      </c>
      <c r="D175" s="20">
        <f>+[1]Consolidation!D175</f>
        <v>0</v>
      </c>
      <c r="E175" s="12">
        <f>+[1]Consolidation!E175</f>
        <v>0</v>
      </c>
      <c r="F175" s="7">
        <f>+[1]Consolidation!F175</f>
        <v>0</v>
      </c>
      <c r="G175" s="7"/>
      <c r="H175" s="7">
        <f>+[1]Consolidation!H175</f>
        <v>0</v>
      </c>
      <c r="I175" s="14">
        <f>+[1]Consolidation!I175</f>
        <v>0</v>
      </c>
      <c r="J175" s="14">
        <f>+[1]Consolidation!J175</f>
        <v>0</v>
      </c>
      <c r="K175" s="14">
        <f>+[1]Consolidation!K175</f>
        <v>0</v>
      </c>
      <c r="L175" s="14">
        <f>+[1]Consolidation!L175</f>
        <v>0</v>
      </c>
      <c r="M175" s="16">
        <f>+[1]Consolidation!M175</f>
        <v>0</v>
      </c>
      <c r="N175" s="14">
        <f>+[1]Consolidation!N175</f>
        <v>0</v>
      </c>
      <c r="O175" s="14">
        <f>+[1]Consolidation!O175</f>
        <v>0</v>
      </c>
      <c r="P175" s="14">
        <f>+[1]Consolidation!P175</f>
        <v>0</v>
      </c>
      <c r="Q175" s="7">
        <f>+[1]Consolidation!Q175</f>
        <v>0</v>
      </c>
      <c r="R175" s="14">
        <f>+[1]Consolidation!R175</f>
        <v>0</v>
      </c>
      <c r="S175" s="7">
        <f>+[1]Consolidation!S175</f>
        <v>0</v>
      </c>
      <c r="T175" s="12">
        <f>+[1]Consolidation!T175</f>
        <v>0</v>
      </c>
    </row>
    <row r="176" spans="1:20" ht="19.2" customHeight="1" x14ac:dyDescent="0.3">
      <c r="A176" s="9" t="str">
        <f>+IF([1]Consolidation!A176=0,"",[1]Consolidation!A176)</f>
        <v/>
      </c>
      <c r="B176" s="7">
        <f>+[1]Consolidation!B176</f>
        <v>0</v>
      </c>
      <c r="C176" s="19">
        <f>+[1]Consolidation!C176</f>
        <v>0</v>
      </c>
      <c r="D176" s="20">
        <f>+[1]Consolidation!D176</f>
        <v>0</v>
      </c>
      <c r="E176" s="12">
        <f>+[1]Consolidation!E176</f>
        <v>0</v>
      </c>
      <c r="F176" s="7">
        <f>+[1]Consolidation!F176</f>
        <v>0</v>
      </c>
      <c r="G176" s="7"/>
      <c r="H176" s="7">
        <f>+[1]Consolidation!H176</f>
        <v>0</v>
      </c>
      <c r="I176" s="14">
        <f>+[1]Consolidation!I176</f>
        <v>0</v>
      </c>
      <c r="J176" s="14">
        <f>+[1]Consolidation!J176</f>
        <v>0</v>
      </c>
      <c r="K176" s="14">
        <f>+[1]Consolidation!K176</f>
        <v>0</v>
      </c>
      <c r="L176" s="14">
        <f>+[1]Consolidation!L176</f>
        <v>0</v>
      </c>
      <c r="M176" s="16">
        <f>+[1]Consolidation!M176</f>
        <v>0</v>
      </c>
      <c r="N176" s="14">
        <f>+[1]Consolidation!N176</f>
        <v>0</v>
      </c>
      <c r="O176" s="14">
        <f>+[1]Consolidation!O176</f>
        <v>0</v>
      </c>
      <c r="P176" s="14">
        <f>+[1]Consolidation!P176</f>
        <v>0</v>
      </c>
      <c r="Q176" s="7">
        <f>+[1]Consolidation!Q176</f>
        <v>0</v>
      </c>
      <c r="R176" s="14">
        <f>+[1]Consolidation!R176</f>
        <v>0</v>
      </c>
      <c r="S176" s="7">
        <f>+[1]Consolidation!S176</f>
        <v>0</v>
      </c>
      <c r="T176" s="12">
        <f>+[1]Consolidation!T176</f>
        <v>0</v>
      </c>
    </row>
    <row r="177" spans="1:20" ht="19.2" customHeight="1" x14ac:dyDescent="0.3">
      <c r="A177" s="9" t="str">
        <f>+IF([1]Consolidation!A177=0,"",[1]Consolidation!A177)</f>
        <v/>
      </c>
      <c r="B177" s="7">
        <f>+[1]Consolidation!B177</f>
        <v>0</v>
      </c>
      <c r="C177" s="19">
        <f>+[1]Consolidation!C177</f>
        <v>0</v>
      </c>
      <c r="D177" s="20">
        <f>+[1]Consolidation!D177</f>
        <v>0</v>
      </c>
      <c r="E177" s="12">
        <f>+[1]Consolidation!E177</f>
        <v>0</v>
      </c>
      <c r="F177" s="7">
        <f>+[1]Consolidation!F177</f>
        <v>0</v>
      </c>
      <c r="G177" s="7"/>
      <c r="H177" s="7">
        <f>+[1]Consolidation!H177</f>
        <v>0</v>
      </c>
      <c r="I177" s="14">
        <f>+[1]Consolidation!I177</f>
        <v>0</v>
      </c>
      <c r="J177" s="14">
        <f>+[1]Consolidation!J177</f>
        <v>0</v>
      </c>
      <c r="K177" s="14">
        <f>+[1]Consolidation!K177</f>
        <v>0</v>
      </c>
      <c r="L177" s="14">
        <f>+[1]Consolidation!L177</f>
        <v>0</v>
      </c>
      <c r="M177" s="16">
        <f>+[1]Consolidation!M177</f>
        <v>0</v>
      </c>
      <c r="N177" s="14">
        <f>+[1]Consolidation!N177</f>
        <v>0</v>
      </c>
      <c r="O177" s="14">
        <f>+[1]Consolidation!O177</f>
        <v>0</v>
      </c>
      <c r="P177" s="14">
        <f>+[1]Consolidation!P177</f>
        <v>0</v>
      </c>
      <c r="Q177" s="7">
        <f>+[1]Consolidation!Q177</f>
        <v>0</v>
      </c>
      <c r="R177" s="14">
        <f>+[1]Consolidation!R177</f>
        <v>0</v>
      </c>
      <c r="S177" s="7">
        <f>+[1]Consolidation!S177</f>
        <v>0</v>
      </c>
      <c r="T177" s="12">
        <f>+[1]Consolidation!T177</f>
        <v>0</v>
      </c>
    </row>
    <row r="178" spans="1:20" ht="19.2" customHeight="1" x14ac:dyDescent="0.3">
      <c r="A178" s="9" t="str">
        <f>+IF([1]Consolidation!A178=0,"",[1]Consolidation!A178)</f>
        <v/>
      </c>
      <c r="B178" s="7">
        <f>+[1]Consolidation!B178</f>
        <v>0</v>
      </c>
      <c r="C178" s="19">
        <f>+[1]Consolidation!C178</f>
        <v>0</v>
      </c>
      <c r="D178" s="20">
        <f>+[1]Consolidation!D178</f>
        <v>0</v>
      </c>
      <c r="E178" s="12">
        <f>+[1]Consolidation!E178</f>
        <v>0</v>
      </c>
      <c r="F178" s="7">
        <f>+[1]Consolidation!F178</f>
        <v>0</v>
      </c>
      <c r="G178" s="7"/>
      <c r="H178" s="7">
        <f>+[1]Consolidation!H178</f>
        <v>0</v>
      </c>
      <c r="I178" s="14">
        <f>+[1]Consolidation!I178</f>
        <v>0</v>
      </c>
      <c r="J178" s="14">
        <f>+[1]Consolidation!J178</f>
        <v>0</v>
      </c>
      <c r="K178" s="14">
        <f>+[1]Consolidation!K178</f>
        <v>0</v>
      </c>
      <c r="L178" s="14">
        <f>+[1]Consolidation!L178</f>
        <v>0</v>
      </c>
      <c r="M178" s="16">
        <f>+[1]Consolidation!M178</f>
        <v>0</v>
      </c>
      <c r="N178" s="14">
        <f>+[1]Consolidation!N178</f>
        <v>0</v>
      </c>
      <c r="O178" s="14">
        <f>+[1]Consolidation!O178</f>
        <v>0</v>
      </c>
      <c r="P178" s="14">
        <f>+[1]Consolidation!P178</f>
        <v>0</v>
      </c>
      <c r="Q178" s="7">
        <f>+[1]Consolidation!Q178</f>
        <v>0</v>
      </c>
      <c r="R178" s="14">
        <f>+[1]Consolidation!R178</f>
        <v>0</v>
      </c>
      <c r="S178" s="7">
        <f>+[1]Consolidation!S178</f>
        <v>0</v>
      </c>
      <c r="T178" s="12">
        <f>+[1]Consolidation!T178</f>
        <v>0</v>
      </c>
    </row>
    <row r="179" spans="1:20" ht="19.2" customHeight="1" x14ac:dyDescent="0.3">
      <c r="A179" s="9" t="str">
        <f>+IF([1]Consolidation!A179=0,"",[1]Consolidation!A179)</f>
        <v/>
      </c>
      <c r="B179" s="7">
        <f>+[1]Consolidation!B179</f>
        <v>0</v>
      </c>
      <c r="C179" s="19">
        <f>+[1]Consolidation!C179</f>
        <v>0</v>
      </c>
      <c r="D179" s="20">
        <f>+[1]Consolidation!D179</f>
        <v>0</v>
      </c>
      <c r="E179" s="12">
        <f>+[1]Consolidation!E179</f>
        <v>0</v>
      </c>
      <c r="F179" s="7">
        <f>+[1]Consolidation!F179</f>
        <v>0</v>
      </c>
      <c r="G179" s="7"/>
      <c r="H179" s="7">
        <f>+[1]Consolidation!H179</f>
        <v>0</v>
      </c>
      <c r="I179" s="14">
        <f>+[1]Consolidation!I179</f>
        <v>0</v>
      </c>
      <c r="J179" s="14">
        <f>+[1]Consolidation!J179</f>
        <v>0</v>
      </c>
      <c r="K179" s="14">
        <f>+[1]Consolidation!K179</f>
        <v>0</v>
      </c>
      <c r="L179" s="14">
        <f>+[1]Consolidation!L179</f>
        <v>0</v>
      </c>
      <c r="M179" s="16">
        <f>+[1]Consolidation!M179</f>
        <v>0</v>
      </c>
      <c r="N179" s="14">
        <f>+[1]Consolidation!N179</f>
        <v>0</v>
      </c>
      <c r="O179" s="14">
        <f>+[1]Consolidation!O179</f>
        <v>0</v>
      </c>
      <c r="P179" s="14">
        <f>+[1]Consolidation!P179</f>
        <v>0</v>
      </c>
      <c r="Q179" s="7">
        <f>+[1]Consolidation!Q179</f>
        <v>0</v>
      </c>
      <c r="R179" s="14">
        <f>+[1]Consolidation!R179</f>
        <v>0</v>
      </c>
      <c r="S179" s="7">
        <f>+[1]Consolidation!S179</f>
        <v>0</v>
      </c>
      <c r="T179" s="12">
        <f>+[1]Consolidation!T179</f>
        <v>0</v>
      </c>
    </row>
    <row r="180" spans="1:20" ht="19.2" customHeight="1" x14ac:dyDescent="0.3">
      <c r="A180" s="9" t="str">
        <f>+IF([1]Consolidation!A180=0,"",[1]Consolidation!A180)</f>
        <v/>
      </c>
      <c r="B180" s="7">
        <f>+[1]Consolidation!B180</f>
        <v>0</v>
      </c>
      <c r="C180" s="19">
        <f>+[1]Consolidation!C180</f>
        <v>0</v>
      </c>
      <c r="D180" s="20">
        <f>+[1]Consolidation!D180</f>
        <v>0</v>
      </c>
      <c r="E180" s="12">
        <f>+[1]Consolidation!E180</f>
        <v>0</v>
      </c>
      <c r="F180" s="7">
        <f>+[1]Consolidation!F180</f>
        <v>0</v>
      </c>
      <c r="G180" s="7"/>
      <c r="H180" s="7">
        <f>+[1]Consolidation!H180</f>
        <v>0</v>
      </c>
      <c r="I180" s="14">
        <f>+[1]Consolidation!I180</f>
        <v>0</v>
      </c>
      <c r="J180" s="14">
        <f>+[1]Consolidation!J180</f>
        <v>0</v>
      </c>
      <c r="K180" s="14">
        <f>+[1]Consolidation!K180</f>
        <v>0</v>
      </c>
      <c r="L180" s="14">
        <f>+[1]Consolidation!L180</f>
        <v>0</v>
      </c>
      <c r="M180" s="16">
        <f>+[1]Consolidation!M180</f>
        <v>0</v>
      </c>
      <c r="N180" s="14">
        <f>+[1]Consolidation!N180</f>
        <v>0</v>
      </c>
      <c r="O180" s="14">
        <f>+[1]Consolidation!O180</f>
        <v>0</v>
      </c>
      <c r="P180" s="14">
        <f>+[1]Consolidation!P180</f>
        <v>0</v>
      </c>
      <c r="Q180" s="7">
        <f>+[1]Consolidation!Q180</f>
        <v>0</v>
      </c>
      <c r="R180" s="14">
        <f>+[1]Consolidation!R180</f>
        <v>0</v>
      </c>
      <c r="S180" s="7">
        <f>+[1]Consolidation!S180</f>
        <v>0</v>
      </c>
      <c r="T180" s="12">
        <f>+[1]Consolidation!T180</f>
        <v>0</v>
      </c>
    </row>
    <row r="181" spans="1:20" ht="19.2" customHeight="1" x14ac:dyDescent="0.3">
      <c r="A181" s="9" t="str">
        <f>+IF([1]Consolidation!A181=0,"",[1]Consolidation!A181)</f>
        <v/>
      </c>
      <c r="B181" s="7">
        <f>+[1]Consolidation!B181</f>
        <v>0</v>
      </c>
      <c r="C181" s="19">
        <f>+[1]Consolidation!C181</f>
        <v>0</v>
      </c>
      <c r="D181" s="20">
        <f>+[1]Consolidation!D181</f>
        <v>0</v>
      </c>
      <c r="E181" s="12">
        <f>+[1]Consolidation!E181</f>
        <v>0</v>
      </c>
      <c r="F181" s="7">
        <f>+[1]Consolidation!F181</f>
        <v>0</v>
      </c>
      <c r="G181" s="7"/>
      <c r="H181" s="7">
        <f>+[1]Consolidation!H181</f>
        <v>0</v>
      </c>
      <c r="I181" s="14">
        <f>+[1]Consolidation!I181</f>
        <v>0</v>
      </c>
      <c r="J181" s="14">
        <f>+[1]Consolidation!J181</f>
        <v>0</v>
      </c>
      <c r="K181" s="14">
        <f>+[1]Consolidation!K181</f>
        <v>0</v>
      </c>
      <c r="L181" s="14">
        <f>+[1]Consolidation!L181</f>
        <v>0</v>
      </c>
      <c r="M181" s="16">
        <f>+[1]Consolidation!M181</f>
        <v>0</v>
      </c>
      <c r="N181" s="14">
        <f>+[1]Consolidation!N181</f>
        <v>0</v>
      </c>
      <c r="O181" s="14">
        <f>+[1]Consolidation!O181</f>
        <v>0</v>
      </c>
      <c r="P181" s="14">
        <f>+[1]Consolidation!P181</f>
        <v>0</v>
      </c>
      <c r="Q181" s="7">
        <f>+[1]Consolidation!Q181</f>
        <v>0</v>
      </c>
      <c r="R181" s="14">
        <f>+[1]Consolidation!R181</f>
        <v>0</v>
      </c>
      <c r="S181" s="7">
        <f>+[1]Consolidation!S181</f>
        <v>0</v>
      </c>
      <c r="T181" s="12">
        <f>+[1]Consolidation!T181</f>
        <v>0</v>
      </c>
    </row>
    <row r="182" spans="1:20" ht="19.2" customHeight="1" x14ac:dyDescent="0.3">
      <c r="A182" s="9" t="str">
        <f>+IF([1]Consolidation!A182=0,"",[1]Consolidation!A182)</f>
        <v/>
      </c>
      <c r="B182" s="7">
        <f>+[1]Consolidation!B182</f>
        <v>0</v>
      </c>
      <c r="C182" s="19">
        <f>+[1]Consolidation!C182</f>
        <v>0</v>
      </c>
      <c r="D182" s="20">
        <f>+[1]Consolidation!D182</f>
        <v>0</v>
      </c>
      <c r="E182" s="12">
        <f>+[1]Consolidation!E182</f>
        <v>0</v>
      </c>
      <c r="F182" s="7">
        <f>+[1]Consolidation!F182</f>
        <v>0</v>
      </c>
      <c r="G182" s="7"/>
      <c r="H182" s="7">
        <f>+[1]Consolidation!H182</f>
        <v>0</v>
      </c>
      <c r="I182" s="14">
        <f>+[1]Consolidation!I182</f>
        <v>0</v>
      </c>
      <c r="J182" s="14">
        <f>+[1]Consolidation!J182</f>
        <v>0</v>
      </c>
      <c r="K182" s="14">
        <f>+[1]Consolidation!K182</f>
        <v>0</v>
      </c>
      <c r="L182" s="14">
        <f>+[1]Consolidation!L182</f>
        <v>0</v>
      </c>
      <c r="M182" s="16">
        <f>+[1]Consolidation!M182</f>
        <v>0</v>
      </c>
      <c r="N182" s="14">
        <f>+[1]Consolidation!N182</f>
        <v>0</v>
      </c>
      <c r="O182" s="14">
        <f>+[1]Consolidation!O182</f>
        <v>0</v>
      </c>
      <c r="P182" s="14">
        <f>+[1]Consolidation!P182</f>
        <v>0</v>
      </c>
      <c r="Q182" s="7">
        <f>+[1]Consolidation!Q182</f>
        <v>0</v>
      </c>
      <c r="R182" s="14">
        <f>+[1]Consolidation!R182</f>
        <v>0</v>
      </c>
      <c r="S182" s="7">
        <f>+[1]Consolidation!S182</f>
        <v>0</v>
      </c>
      <c r="T182" s="12">
        <f>+[1]Consolidation!T182</f>
        <v>0</v>
      </c>
    </row>
    <row r="183" spans="1:20" ht="19.2" customHeight="1" x14ac:dyDescent="0.3">
      <c r="A183" s="9" t="str">
        <f>+IF([1]Consolidation!A183=0,"",[1]Consolidation!A183)</f>
        <v/>
      </c>
      <c r="B183" s="7">
        <f>+[1]Consolidation!B183</f>
        <v>0</v>
      </c>
      <c r="C183" s="19">
        <f>+[1]Consolidation!C183</f>
        <v>0</v>
      </c>
      <c r="D183" s="20">
        <f>+[1]Consolidation!D183</f>
        <v>0</v>
      </c>
      <c r="E183" s="12">
        <f>+[1]Consolidation!E183</f>
        <v>0</v>
      </c>
      <c r="F183" s="7">
        <f>+[1]Consolidation!F183</f>
        <v>0</v>
      </c>
      <c r="G183" s="7"/>
      <c r="H183" s="7">
        <f>+[1]Consolidation!H183</f>
        <v>0</v>
      </c>
      <c r="I183" s="14">
        <f>+[1]Consolidation!I183</f>
        <v>0</v>
      </c>
      <c r="J183" s="14">
        <f>+[1]Consolidation!J183</f>
        <v>0</v>
      </c>
      <c r="K183" s="14">
        <f>+[1]Consolidation!K183</f>
        <v>0</v>
      </c>
      <c r="L183" s="14">
        <f>+[1]Consolidation!L183</f>
        <v>0</v>
      </c>
      <c r="M183" s="16">
        <f>+[1]Consolidation!M183</f>
        <v>0</v>
      </c>
      <c r="N183" s="14">
        <f>+[1]Consolidation!N183</f>
        <v>0</v>
      </c>
      <c r="O183" s="14">
        <f>+[1]Consolidation!O183</f>
        <v>0</v>
      </c>
      <c r="P183" s="14">
        <f>+[1]Consolidation!P183</f>
        <v>0</v>
      </c>
      <c r="Q183" s="7">
        <f>+[1]Consolidation!Q183</f>
        <v>0</v>
      </c>
      <c r="R183" s="14">
        <f>+[1]Consolidation!R183</f>
        <v>0</v>
      </c>
      <c r="S183" s="7">
        <f>+[1]Consolidation!S183</f>
        <v>0</v>
      </c>
      <c r="T183" s="12">
        <f>+[1]Consolidation!T183</f>
        <v>0</v>
      </c>
    </row>
    <row r="184" spans="1:20" ht="19.2" customHeight="1" x14ac:dyDescent="0.3">
      <c r="A184" s="9" t="str">
        <f>+IF([1]Consolidation!A184=0,"",[1]Consolidation!A184)</f>
        <v/>
      </c>
      <c r="B184" s="7">
        <f>+[1]Consolidation!B184</f>
        <v>0</v>
      </c>
      <c r="C184" s="19">
        <f>+[1]Consolidation!C184</f>
        <v>0</v>
      </c>
      <c r="D184" s="20">
        <f>+[1]Consolidation!D184</f>
        <v>0</v>
      </c>
      <c r="E184" s="12">
        <f>+[1]Consolidation!E184</f>
        <v>0</v>
      </c>
      <c r="F184" s="7">
        <f>+[1]Consolidation!F184</f>
        <v>0</v>
      </c>
      <c r="G184" s="7"/>
      <c r="H184" s="7">
        <f>+[1]Consolidation!H184</f>
        <v>0</v>
      </c>
      <c r="I184" s="14">
        <f>+[1]Consolidation!I184</f>
        <v>0</v>
      </c>
      <c r="J184" s="14">
        <f>+[1]Consolidation!J184</f>
        <v>0</v>
      </c>
      <c r="K184" s="14">
        <f>+[1]Consolidation!K184</f>
        <v>0</v>
      </c>
      <c r="L184" s="14">
        <f>+[1]Consolidation!L184</f>
        <v>0</v>
      </c>
      <c r="M184" s="16">
        <f>+[1]Consolidation!M184</f>
        <v>0</v>
      </c>
      <c r="N184" s="14">
        <f>+[1]Consolidation!N184</f>
        <v>0</v>
      </c>
      <c r="O184" s="14">
        <f>+[1]Consolidation!O184</f>
        <v>0</v>
      </c>
      <c r="P184" s="14">
        <f>+[1]Consolidation!P184</f>
        <v>0</v>
      </c>
      <c r="Q184" s="7">
        <f>+[1]Consolidation!Q184</f>
        <v>0</v>
      </c>
      <c r="R184" s="14">
        <f>+[1]Consolidation!R184</f>
        <v>0</v>
      </c>
      <c r="S184" s="7">
        <f>+[1]Consolidation!S184</f>
        <v>0</v>
      </c>
      <c r="T184" s="12">
        <f>+[1]Consolidation!T184</f>
        <v>0</v>
      </c>
    </row>
    <row r="185" spans="1:20" ht="19.2" customHeight="1" x14ac:dyDescent="0.3">
      <c r="A185" s="9" t="str">
        <f>+IF([1]Consolidation!A185=0,"",[1]Consolidation!A185)</f>
        <v/>
      </c>
      <c r="B185" s="7">
        <f>+[1]Consolidation!B185</f>
        <v>0</v>
      </c>
      <c r="C185" s="19">
        <f>+[1]Consolidation!C185</f>
        <v>0</v>
      </c>
      <c r="D185" s="20">
        <f>+[1]Consolidation!D185</f>
        <v>0</v>
      </c>
      <c r="E185" s="12">
        <f>+[1]Consolidation!E185</f>
        <v>0</v>
      </c>
      <c r="F185" s="7">
        <f>+[1]Consolidation!F185</f>
        <v>0</v>
      </c>
      <c r="G185" s="7"/>
      <c r="H185" s="7">
        <f>+[1]Consolidation!H185</f>
        <v>0</v>
      </c>
      <c r="I185" s="14">
        <f>+[1]Consolidation!I185</f>
        <v>0</v>
      </c>
      <c r="J185" s="14">
        <f>+[1]Consolidation!J185</f>
        <v>0</v>
      </c>
      <c r="K185" s="14">
        <f>+[1]Consolidation!K185</f>
        <v>0</v>
      </c>
      <c r="L185" s="14">
        <f>+[1]Consolidation!L185</f>
        <v>0</v>
      </c>
      <c r="M185" s="16">
        <f>+[1]Consolidation!M185</f>
        <v>0</v>
      </c>
      <c r="N185" s="14">
        <f>+[1]Consolidation!N185</f>
        <v>0</v>
      </c>
      <c r="O185" s="14">
        <f>+[1]Consolidation!O185</f>
        <v>0</v>
      </c>
      <c r="P185" s="14">
        <f>+[1]Consolidation!P185</f>
        <v>0</v>
      </c>
      <c r="Q185" s="7">
        <f>+[1]Consolidation!Q185</f>
        <v>0</v>
      </c>
      <c r="R185" s="14">
        <f>+[1]Consolidation!R185</f>
        <v>0</v>
      </c>
      <c r="S185" s="7">
        <f>+[1]Consolidation!S185</f>
        <v>0</v>
      </c>
      <c r="T185" s="12">
        <f>+[1]Consolidation!T185</f>
        <v>0</v>
      </c>
    </row>
    <row r="186" spans="1:20" ht="19.2" customHeight="1" x14ac:dyDescent="0.3">
      <c r="A186" s="9" t="str">
        <f>+IF([1]Consolidation!A186=0,"",[1]Consolidation!A186)</f>
        <v/>
      </c>
      <c r="B186" s="7">
        <f>+[1]Consolidation!B186</f>
        <v>0</v>
      </c>
      <c r="C186" s="19">
        <f>+[1]Consolidation!C186</f>
        <v>0</v>
      </c>
      <c r="D186" s="20">
        <f>+[1]Consolidation!D186</f>
        <v>0</v>
      </c>
      <c r="E186" s="12">
        <f>+[1]Consolidation!E186</f>
        <v>0</v>
      </c>
      <c r="F186" s="7">
        <f>+[1]Consolidation!F186</f>
        <v>0</v>
      </c>
      <c r="G186" s="7"/>
      <c r="H186" s="7">
        <f>+[1]Consolidation!H186</f>
        <v>0</v>
      </c>
      <c r="I186" s="14">
        <f>+[1]Consolidation!I186</f>
        <v>0</v>
      </c>
      <c r="J186" s="14">
        <f>+[1]Consolidation!J186</f>
        <v>0</v>
      </c>
      <c r="K186" s="14">
        <f>+[1]Consolidation!K186</f>
        <v>0</v>
      </c>
      <c r="L186" s="14">
        <f>+[1]Consolidation!L186</f>
        <v>0</v>
      </c>
      <c r="M186" s="16">
        <f>+[1]Consolidation!M186</f>
        <v>0</v>
      </c>
      <c r="N186" s="14">
        <f>+[1]Consolidation!N186</f>
        <v>0</v>
      </c>
      <c r="O186" s="14">
        <f>+[1]Consolidation!O186</f>
        <v>0</v>
      </c>
      <c r="P186" s="14">
        <f>+[1]Consolidation!P186</f>
        <v>0</v>
      </c>
      <c r="Q186" s="7">
        <f>+[1]Consolidation!Q186</f>
        <v>0</v>
      </c>
      <c r="R186" s="14">
        <f>+[1]Consolidation!R186</f>
        <v>0</v>
      </c>
      <c r="S186" s="7">
        <f>+[1]Consolidation!S186</f>
        <v>0</v>
      </c>
      <c r="T186" s="12">
        <f>+[1]Consolidation!T186</f>
        <v>0</v>
      </c>
    </row>
    <row r="187" spans="1:20" ht="19.2" customHeight="1" x14ac:dyDescent="0.3">
      <c r="A187" s="9" t="str">
        <f>+IF([1]Consolidation!A187=0,"",[1]Consolidation!A187)</f>
        <v/>
      </c>
      <c r="B187" s="7">
        <f>+[1]Consolidation!B187</f>
        <v>0</v>
      </c>
      <c r="C187" s="19">
        <f>+[1]Consolidation!C187</f>
        <v>0</v>
      </c>
      <c r="D187" s="20">
        <f>+[1]Consolidation!D187</f>
        <v>0</v>
      </c>
      <c r="E187" s="12">
        <f>+[1]Consolidation!E187</f>
        <v>0</v>
      </c>
      <c r="F187" s="7">
        <f>+[1]Consolidation!F187</f>
        <v>0</v>
      </c>
      <c r="G187" s="7"/>
      <c r="H187" s="7">
        <f>+[1]Consolidation!H187</f>
        <v>0</v>
      </c>
      <c r="I187" s="14">
        <f>+[1]Consolidation!I187</f>
        <v>0</v>
      </c>
      <c r="J187" s="14">
        <f>+[1]Consolidation!J187</f>
        <v>0</v>
      </c>
      <c r="K187" s="14">
        <f>+[1]Consolidation!K187</f>
        <v>0</v>
      </c>
      <c r="L187" s="14">
        <f>+[1]Consolidation!L187</f>
        <v>0</v>
      </c>
      <c r="M187" s="16">
        <f>+[1]Consolidation!M187</f>
        <v>0</v>
      </c>
      <c r="N187" s="14">
        <f>+[1]Consolidation!N187</f>
        <v>0</v>
      </c>
      <c r="O187" s="14">
        <f>+[1]Consolidation!O187</f>
        <v>0</v>
      </c>
      <c r="P187" s="14">
        <f>+[1]Consolidation!P187</f>
        <v>0</v>
      </c>
      <c r="Q187" s="7">
        <f>+[1]Consolidation!Q187</f>
        <v>0</v>
      </c>
      <c r="R187" s="14">
        <f>+[1]Consolidation!R187</f>
        <v>0</v>
      </c>
      <c r="S187" s="7">
        <f>+[1]Consolidation!S187</f>
        <v>0</v>
      </c>
      <c r="T187" s="12">
        <f>+[1]Consolidation!T187</f>
        <v>0</v>
      </c>
    </row>
    <row r="188" spans="1:20" ht="19.2" customHeight="1" x14ac:dyDescent="0.3">
      <c r="A188" s="9" t="str">
        <f>+IF([1]Consolidation!A188=0,"",[1]Consolidation!A188)</f>
        <v/>
      </c>
      <c r="B188" s="7">
        <f>+[1]Consolidation!B188</f>
        <v>0</v>
      </c>
      <c r="C188" s="19">
        <f>+[1]Consolidation!C188</f>
        <v>0</v>
      </c>
      <c r="D188" s="20">
        <f>+[1]Consolidation!D188</f>
        <v>0</v>
      </c>
      <c r="E188" s="12">
        <f>+[1]Consolidation!E188</f>
        <v>0</v>
      </c>
      <c r="F188" s="7">
        <f>+[1]Consolidation!F188</f>
        <v>0</v>
      </c>
      <c r="G188" s="7"/>
      <c r="H188" s="7">
        <f>+[1]Consolidation!H188</f>
        <v>0</v>
      </c>
      <c r="I188" s="14">
        <f>+[1]Consolidation!I188</f>
        <v>0</v>
      </c>
      <c r="J188" s="14">
        <f>+[1]Consolidation!J188</f>
        <v>0</v>
      </c>
      <c r="K188" s="14">
        <f>+[1]Consolidation!K188</f>
        <v>0</v>
      </c>
      <c r="L188" s="14">
        <f>+[1]Consolidation!L188</f>
        <v>0</v>
      </c>
      <c r="M188" s="16">
        <f>+[1]Consolidation!M188</f>
        <v>0</v>
      </c>
      <c r="N188" s="14">
        <f>+[1]Consolidation!N188</f>
        <v>0</v>
      </c>
      <c r="O188" s="14">
        <f>+[1]Consolidation!O188</f>
        <v>0</v>
      </c>
      <c r="P188" s="14">
        <f>+[1]Consolidation!P188</f>
        <v>0</v>
      </c>
      <c r="Q188" s="7">
        <f>+[1]Consolidation!Q188</f>
        <v>0</v>
      </c>
      <c r="R188" s="14">
        <f>+[1]Consolidation!R188</f>
        <v>0</v>
      </c>
      <c r="S188" s="7">
        <f>+[1]Consolidation!S188</f>
        <v>0</v>
      </c>
      <c r="T188" s="12">
        <f>+[1]Consolidation!T188</f>
        <v>0</v>
      </c>
    </row>
    <row r="189" spans="1:20" ht="19.2" customHeight="1" x14ac:dyDescent="0.3">
      <c r="A189" s="9" t="str">
        <f>+IF([1]Consolidation!A189=0,"",[1]Consolidation!A189)</f>
        <v/>
      </c>
      <c r="B189" s="7">
        <f>+[1]Consolidation!B189</f>
        <v>0</v>
      </c>
      <c r="C189" s="19">
        <f>+[1]Consolidation!C189</f>
        <v>0</v>
      </c>
      <c r="D189" s="20">
        <f>+[1]Consolidation!D189</f>
        <v>0</v>
      </c>
      <c r="E189" s="12">
        <f>+[1]Consolidation!E189</f>
        <v>0</v>
      </c>
      <c r="F189" s="7">
        <f>+[1]Consolidation!F189</f>
        <v>0</v>
      </c>
      <c r="G189" s="7"/>
      <c r="H189" s="7">
        <f>+[1]Consolidation!H189</f>
        <v>0</v>
      </c>
      <c r="I189" s="14">
        <f>+[1]Consolidation!I189</f>
        <v>0</v>
      </c>
      <c r="J189" s="14">
        <f>+[1]Consolidation!J189</f>
        <v>0</v>
      </c>
      <c r="K189" s="14">
        <f>+[1]Consolidation!K189</f>
        <v>0</v>
      </c>
      <c r="L189" s="14">
        <f>+[1]Consolidation!L189</f>
        <v>0</v>
      </c>
      <c r="M189" s="16">
        <f>+[1]Consolidation!M189</f>
        <v>0</v>
      </c>
      <c r="N189" s="14">
        <f>+[1]Consolidation!N189</f>
        <v>0</v>
      </c>
      <c r="O189" s="14">
        <f>+[1]Consolidation!O189</f>
        <v>0</v>
      </c>
      <c r="P189" s="14">
        <f>+[1]Consolidation!P189</f>
        <v>0</v>
      </c>
      <c r="Q189" s="7">
        <f>+[1]Consolidation!Q189</f>
        <v>0</v>
      </c>
      <c r="R189" s="14">
        <f>+[1]Consolidation!R189</f>
        <v>0</v>
      </c>
      <c r="S189" s="7">
        <f>+[1]Consolidation!S189</f>
        <v>0</v>
      </c>
      <c r="T189" s="12">
        <f>+[1]Consolidation!T189</f>
        <v>0</v>
      </c>
    </row>
    <row r="190" spans="1:20" ht="19.2" customHeight="1" x14ac:dyDescent="0.3">
      <c r="A190" s="9" t="str">
        <f>+IF([1]Consolidation!A190=0,"",[1]Consolidation!A190)</f>
        <v/>
      </c>
      <c r="B190" s="7">
        <f>+[1]Consolidation!B190</f>
        <v>0</v>
      </c>
      <c r="C190" s="19">
        <f>+[1]Consolidation!C190</f>
        <v>0</v>
      </c>
      <c r="D190" s="20">
        <f>+[1]Consolidation!D190</f>
        <v>0</v>
      </c>
      <c r="E190" s="12">
        <f>+[1]Consolidation!E190</f>
        <v>0</v>
      </c>
      <c r="F190" s="7">
        <f>+[1]Consolidation!F190</f>
        <v>0</v>
      </c>
      <c r="G190" s="7"/>
      <c r="H190" s="7">
        <f>+[1]Consolidation!H190</f>
        <v>0</v>
      </c>
      <c r="I190" s="14">
        <f>+[1]Consolidation!I190</f>
        <v>0</v>
      </c>
      <c r="J190" s="14">
        <f>+[1]Consolidation!J190</f>
        <v>0</v>
      </c>
      <c r="K190" s="14">
        <f>+[1]Consolidation!K190</f>
        <v>0</v>
      </c>
      <c r="L190" s="14">
        <f>+[1]Consolidation!L190</f>
        <v>0</v>
      </c>
      <c r="M190" s="16">
        <f>+[1]Consolidation!M190</f>
        <v>0</v>
      </c>
      <c r="N190" s="14">
        <f>+[1]Consolidation!N190</f>
        <v>0</v>
      </c>
      <c r="O190" s="14">
        <f>+[1]Consolidation!O190</f>
        <v>0</v>
      </c>
      <c r="P190" s="14">
        <f>+[1]Consolidation!P190</f>
        <v>0</v>
      </c>
      <c r="Q190" s="7">
        <f>+[1]Consolidation!Q190</f>
        <v>0</v>
      </c>
      <c r="R190" s="14">
        <f>+[1]Consolidation!R190</f>
        <v>0</v>
      </c>
      <c r="S190" s="7">
        <f>+[1]Consolidation!S190</f>
        <v>0</v>
      </c>
      <c r="T190" s="12">
        <f>+[1]Consolidation!T190</f>
        <v>0</v>
      </c>
    </row>
    <row r="191" spans="1:20" ht="19.2" customHeight="1" x14ac:dyDescent="0.3">
      <c r="A191" s="9" t="str">
        <f>+IF([1]Consolidation!A191=0,"",[1]Consolidation!A191)</f>
        <v/>
      </c>
      <c r="B191" s="7">
        <f>+[1]Consolidation!B191</f>
        <v>0</v>
      </c>
      <c r="C191" s="19">
        <f>+[1]Consolidation!C191</f>
        <v>0</v>
      </c>
      <c r="D191" s="20">
        <f>+[1]Consolidation!D191</f>
        <v>0</v>
      </c>
      <c r="E191" s="12">
        <f>+[1]Consolidation!E191</f>
        <v>0</v>
      </c>
      <c r="F191" s="7">
        <f>+[1]Consolidation!F191</f>
        <v>0</v>
      </c>
      <c r="G191" s="7"/>
      <c r="H191" s="7">
        <f>+[1]Consolidation!H191</f>
        <v>0</v>
      </c>
      <c r="I191" s="14">
        <f>+[1]Consolidation!I191</f>
        <v>0</v>
      </c>
      <c r="J191" s="14">
        <f>+[1]Consolidation!J191</f>
        <v>0</v>
      </c>
      <c r="K191" s="14">
        <f>+[1]Consolidation!K191</f>
        <v>0</v>
      </c>
      <c r="L191" s="14">
        <f>+[1]Consolidation!L191</f>
        <v>0</v>
      </c>
      <c r="M191" s="16">
        <f>+[1]Consolidation!M191</f>
        <v>0</v>
      </c>
      <c r="N191" s="14">
        <f>+[1]Consolidation!N191</f>
        <v>0</v>
      </c>
      <c r="O191" s="14">
        <f>+[1]Consolidation!O191</f>
        <v>0</v>
      </c>
      <c r="P191" s="14">
        <f>+[1]Consolidation!P191</f>
        <v>0</v>
      </c>
      <c r="Q191" s="7">
        <f>+[1]Consolidation!Q191</f>
        <v>0</v>
      </c>
      <c r="R191" s="14">
        <f>+[1]Consolidation!R191</f>
        <v>0</v>
      </c>
      <c r="S191" s="7">
        <f>+[1]Consolidation!S191</f>
        <v>0</v>
      </c>
      <c r="T191" s="12">
        <f>+[1]Consolidation!T191</f>
        <v>0</v>
      </c>
    </row>
    <row r="192" spans="1:20" ht="19.2" customHeight="1" x14ac:dyDescent="0.3">
      <c r="A192" s="9" t="str">
        <f>+IF([1]Consolidation!A192=0,"",[1]Consolidation!A192)</f>
        <v/>
      </c>
      <c r="B192" s="7">
        <f>+[1]Consolidation!B192</f>
        <v>0</v>
      </c>
      <c r="C192" s="19">
        <f>+[1]Consolidation!C192</f>
        <v>0</v>
      </c>
      <c r="D192" s="20">
        <f>+[1]Consolidation!D192</f>
        <v>0</v>
      </c>
      <c r="E192" s="12">
        <f>+[1]Consolidation!E192</f>
        <v>0</v>
      </c>
      <c r="F192" s="7">
        <f>+[1]Consolidation!F192</f>
        <v>0</v>
      </c>
      <c r="G192" s="7"/>
      <c r="H192" s="7">
        <f>+[1]Consolidation!H192</f>
        <v>0</v>
      </c>
      <c r="I192" s="14">
        <f>+[1]Consolidation!I192</f>
        <v>0</v>
      </c>
      <c r="J192" s="14">
        <f>+[1]Consolidation!J192</f>
        <v>0</v>
      </c>
      <c r="K192" s="14">
        <f>+[1]Consolidation!K192</f>
        <v>0</v>
      </c>
      <c r="L192" s="14">
        <f>+[1]Consolidation!L192</f>
        <v>0</v>
      </c>
      <c r="M192" s="16">
        <f>+[1]Consolidation!M192</f>
        <v>0</v>
      </c>
      <c r="N192" s="14">
        <f>+[1]Consolidation!N192</f>
        <v>0</v>
      </c>
      <c r="O192" s="14">
        <f>+[1]Consolidation!O192</f>
        <v>0</v>
      </c>
      <c r="P192" s="14">
        <f>+[1]Consolidation!P192</f>
        <v>0</v>
      </c>
      <c r="Q192" s="7">
        <f>+[1]Consolidation!Q192</f>
        <v>0</v>
      </c>
      <c r="R192" s="14">
        <f>+[1]Consolidation!R192</f>
        <v>0</v>
      </c>
      <c r="S192" s="7">
        <f>+[1]Consolidation!S192</f>
        <v>0</v>
      </c>
      <c r="T192" s="12">
        <f>+[1]Consolidation!T192</f>
        <v>0</v>
      </c>
    </row>
    <row r="193" spans="1:20" ht="19.2" customHeight="1" x14ac:dyDescent="0.3">
      <c r="A193" s="9" t="str">
        <f>+IF([1]Consolidation!A193=0,"",[1]Consolidation!A193)</f>
        <v/>
      </c>
      <c r="B193" s="7">
        <f>+[1]Consolidation!B193</f>
        <v>0</v>
      </c>
      <c r="C193" s="19">
        <f>+[1]Consolidation!C193</f>
        <v>0</v>
      </c>
      <c r="D193" s="20">
        <f>+[1]Consolidation!D193</f>
        <v>0</v>
      </c>
      <c r="E193" s="12">
        <f>+[1]Consolidation!E193</f>
        <v>0</v>
      </c>
      <c r="F193" s="7">
        <f>+[1]Consolidation!F193</f>
        <v>0</v>
      </c>
      <c r="G193" s="7"/>
      <c r="H193" s="7">
        <f>+[1]Consolidation!H193</f>
        <v>0</v>
      </c>
      <c r="I193" s="14">
        <f>+[1]Consolidation!I193</f>
        <v>0</v>
      </c>
      <c r="J193" s="14">
        <f>+[1]Consolidation!J193</f>
        <v>0</v>
      </c>
      <c r="K193" s="14">
        <f>+[1]Consolidation!K193</f>
        <v>0</v>
      </c>
      <c r="L193" s="14">
        <f>+[1]Consolidation!L193</f>
        <v>0</v>
      </c>
      <c r="M193" s="16">
        <f>+[1]Consolidation!M193</f>
        <v>0</v>
      </c>
      <c r="N193" s="14">
        <f>+[1]Consolidation!N193</f>
        <v>0</v>
      </c>
      <c r="O193" s="14">
        <f>+[1]Consolidation!O193</f>
        <v>0</v>
      </c>
      <c r="P193" s="14">
        <f>+[1]Consolidation!P193</f>
        <v>0</v>
      </c>
      <c r="Q193" s="7">
        <f>+[1]Consolidation!Q193</f>
        <v>0</v>
      </c>
      <c r="R193" s="14">
        <f>+[1]Consolidation!R193</f>
        <v>0</v>
      </c>
      <c r="S193" s="7">
        <f>+[1]Consolidation!S193</f>
        <v>0</v>
      </c>
      <c r="T193" s="12">
        <f>+[1]Consolidation!T193</f>
        <v>0</v>
      </c>
    </row>
    <row r="194" spans="1:20" ht="19.2" customHeight="1" x14ac:dyDescent="0.3">
      <c r="A194" s="9" t="str">
        <f>+IF([1]Consolidation!A194=0,"",[1]Consolidation!A194)</f>
        <v/>
      </c>
      <c r="B194" s="7">
        <f>+[1]Consolidation!B194</f>
        <v>0</v>
      </c>
      <c r="C194" s="19">
        <f>+[1]Consolidation!C194</f>
        <v>0</v>
      </c>
      <c r="D194" s="20">
        <f>+[1]Consolidation!D194</f>
        <v>0</v>
      </c>
      <c r="E194" s="12">
        <f>+[1]Consolidation!E194</f>
        <v>0</v>
      </c>
      <c r="F194" s="7">
        <f>+[1]Consolidation!F194</f>
        <v>0</v>
      </c>
      <c r="G194" s="7"/>
      <c r="H194" s="7">
        <f>+[1]Consolidation!H194</f>
        <v>0</v>
      </c>
      <c r="I194" s="14">
        <f>+[1]Consolidation!I194</f>
        <v>0</v>
      </c>
      <c r="J194" s="14">
        <f>+[1]Consolidation!J194</f>
        <v>0</v>
      </c>
      <c r="K194" s="14">
        <f>+[1]Consolidation!K194</f>
        <v>0</v>
      </c>
      <c r="L194" s="14">
        <f>+[1]Consolidation!L194</f>
        <v>0</v>
      </c>
      <c r="M194" s="16">
        <f>+[1]Consolidation!M194</f>
        <v>0</v>
      </c>
      <c r="N194" s="14">
        <f>+[1]Consolidation!N194</f>
        <v>0</v>
      </c>
      <c r="O194" s="14">
        <f>+[1]Consolidation!O194</f>
        <v>0</v>
      </c>
      <c r="P194" s="14">
        <f>+[1]Consolidation!P194</f>
        <v>0</v>
      </c>
      <c r="Q194" s="7">
        <f>+[1]Consolidation!Q194</f>
        <v>0</v>
      </c>
      <c r="R194" s="14">
        <f>+[1]Consolidation!R194</f>
        <v>0</v>
      </c>
      <c r="S194" s="7">
        <f>+[1]Consolidation!S194</f>
        <v>0</v>
      </c>
      <c r="T194" s="12">
        <f>+[1]Consolidation!T194</f>
        <v>0</v>
      </c>
    </row>
    <row r="195" spans="1:20" ht="19.2" customHeight="1" x14ac:dyDescent="0.3">
      <c r="A195" s="9" t="str">
        <f>+IF([1]Consolidation!A195=0,"",[1]Consolidation!A195)</f>
        <v/>
      </c>
      <c r="B195" s="7">
        <f>+[1]Consolidation!B195</f>
        <v>0</v>
      </c>
      <c r="C195" s="19">
        <f>+[1]Consolidation!C195</f>
        <v>0</v>
      </c>
      <c r="D195" s="20">
        <f>+[1]Consolidation!D195</f>
        <v>0</v>
      </c>
      <c r="E195" s="12">
        <f>+[1]Consolidation!E195</f>
        <v>0</v>
      </c>
      <c r="F195" s="7">
        <f>+[1]Consolidation!F195</f>
        <v>0</v>
      </c>
      <c r="G195" s="7"/>
      <c r="H195" s="7">
        <f>+[1]Consolidation!H195</f>
        <v>0</v>
      </c>
      <c r="I195" s="14">
        <f>+[1]Consolidation!I195</f>
        <v>0</v>
      </c>
      <c r="J195" s="14">
        <f>+[1]Consolidation!J195</f>
        <v>0</v>
      </c>
      <c r="K195" s="14">
        <f>+[1]Consolidation!K195</f>
        <v>0</v>
      </c>
      <c r="L195" s="14">
        <f>+[1]Consolidation!L195</f>
        <v>0</v>
      </c>
      <c r="M195" s="16">
        <f>+[1]Consolidation!M195</f>
        <v>0</v>
      </c>
      <c r="N195" s="14">
        <f>+[1]Consolidation!N195</f>
        <v>0</v>
      </c>
      <c r="O195" s="14">
        <f>+[1]Consolidation!O195</f>
        <v>0</v>
      </c>
      <c r="P195" s="14">
        <f>+[1]Consolidation!P195</f>
        <v>0</v>
      </c>
      <c r="Q195" s="7">
        <f>+[1]Consolidation!Q195</f>
        <v>0</v>
      </c>
      <c r="R195" s="14">
        <f>+[1]Consolidation!R195</f>
        <v>0</v>
      </c>
      <c r="S195" s="7">
        <f>+[1]Consolidation!S195</f>
        <v>0</v>
      </c>
      <c r="T195" s="12">
        <f>+[1]Consolidation!T195</f>
        <v>0</v>
      </c>
    </row>
    <row r="196" spans="1:20" ht="19.2" customHeight="1" x14ac:dyDescent="0.3">
      <c r="A196" s="9" t="str">
        <f>+IF([1]Consolidation!A196=0,"",[1]Consolidation!A196)</f>
        <v/>
      </c>
      <c r="B196" s="7">
        <f>+[1]Consolidation!B196</f>
        <v>0</v>
      </c>
      <c r="C196" s="19">
        <f>+[1]Consolidation!C196</f>
        <v>0</v>
      </c>
      <c r="D196" s="20">
        <f>+[1]Consolidation!D196</f>
        <v>0</v>
      </c>
      <c r="E196" s="12">
        <f>+[1]Consolidation!E196</f>
        <v>0</v>
      </c>
      <c r="F196" s="7">
        <f>+[1]Consolidation!F196</f>
        <v>0</v>
      </c>
      <c r="G196" s="7"/>
      <c r="H196" s="7">
        <f>+[1]Consolidation!H196</f>
        <v>0</v>
      </c>
      <c r="I196" s="14">
        <f>+[1]Consolidation!I196</f>
        <v>0</v>
      </c>
      <c r="J196" s="14">
        <f>+[1]Consolidation!J196</f>
        <v>0</v>
      </c>
      <c r="K196" s="14">
        <f>+[1]Consolidation!K196</f>
        <v>0</v>
      </c>
      <c r="L196" s="14">
        <f>+[1]Consolidation!L196</f>
        <v>0</v>
      </c>
      <c r="M196" s="16">
        <f>+[1]Consolidation!M196</f>
        <v>0</v>
      </c>
      <c r="N196" s="14">
        <f>+[1]Consolidation!N196</f>
        <v>0</v>
      </c>
      <c r="O196" s="14">
        <f>+[1]Consolidation!O196</f>
        <v>0</v>
      </c>
      <c r="P196" s="14">
        <f>+[1]Consolidation!P196</f>
        <v>0</v>
      </c>
      <c r="Q196" s="7">
        <f>+[1]Consolidation!Q196</f>
        <v>0</v>
      </c>
      <c r="R196" s="14">
        <f>+[1]Consolidation!R196</f>
        <v>0</v>
      </c>
      <c r="S196" s="7">
        <f>+[1]Consolidation!S196</f>
        <v>0</v>
      </c>
      <c r="T196" s="12">
        <f>+[1]Consolidation!T196</f>
        <v>0</v>
      </c>
    </row>
    <row r="197" spans="1:20" ht="19.2" customHeight="1" x14ac:dyDescent="0.3">
      <c r="A197" s="9" t="str">
        <f>+IF([1]Consolidation!A197=0,"",[1]Consolidation!A197)</f>
        <v/>
      </c>
      <c r="B197" s="7">
        <f>+[1]Consolidation!B197</f>
        <v>0</v>
      </c>
      <c r="C197" s="19">
        <f>+[1]Consolidation!C197</f>
        <v>0</v>
      </c>
      <c r="D197" s="20">
        <f>+[1]Consolidation!D197</f>
        <v>0</v>
      </c>
      <c r="E197" s="12">
        <f>+[1]Consolidation!E197</f>
        <v>0</v>
      </c>
      <c r="F197" s="7">
        <f>+[1]Consolidation!F197</f>
        <v>0</v>
      </c>
      <c r="G197" s="7"/>
      <c r="H197" s="7">
        <f>+[1]Consolidation!H197</f>
        <v>0</v>
      </c>
      <c r="I197" s="14">
        <f>+[1]Consolidation!I197</f>
        <v>0</v>
      </c>
      <c r="J197" s="14">
        <f>+[1]Consolidation!J197</f>
        <v>0</v>
      </c>
      <c r="K197" s="14">
        <f>+[1]Consolidation!K197</f>
        <v>0</v>
      </c>
      <c r="L197" s="14">
        <f>+[1]Consolidation!L197</f>
        <v>0</v>
      </c>
      <c r="M197" s="16">
        <f>+[1]Consolidation!M197</f>
        <v>0</v>
      </c>
      <c r="N197" s="14">
        <f>+[1]Consolidation!N197</f>
        <v>0</v>
      </c>
      <c r="O197" s="14">
        <f>+[1]Consolidation!O197</f>
        <v>0</v>
      </c>
      <c r="P197" s="14">
        <f>+[1]Consolidation!P197</f>
        <v>0</v>
      </c>
      <c r="Q197" s="7">
        <f>+[1]Consolidation!Q197</f>
        <v>0</v>
      </c>
      <c r="R197" s="14">
        <f>+[1]Consolidation!R197</f>
        <v>0</v>
      </c>
      <c r="S197" s="7">
        <f>+[1]Consolidation!S197</f>
        <v>0</v>
      </c>
      <c r="T197" s="12">
        <f>+[1]Consolidation!T197</f>
        <v>0</v>
      </c>
    </row>
    <row r="198" spans="1:20" ht="19.2" customHeight="1" x14ac:dyDescent="0.3">
      <c r="A198" s="9" t="str">
        <f>+IF([1]Consolidation!A198=0,"",[1]Consolidation!A198)</f>
        <v/>
      </c>
      <c r="B198" s="7">
        <f>+[1]Consolidation!B198</f>
        <v>0</v>
      </c>
      <c r="C198" s="19">
        <f>+[1]Consolidation!C198</f>
        <v>0</v>
      </c>
      <c r="D198" s="20">
        <f>+[1]Consolidation!D198</f>
        <v>0</v>
      </c>
      <c r="E198" s="12">
        <f>+[1]Consolidation!E198</f>
        <v>0</v>
      </c>
      <c r="F198" s="7">
        <f>+[1]Consolidation!F198</f>
        <v>0</v>
      </c>
      <c r="G198" s="7"/>
      <c r="H198" s="7">
        <f>+[1]Consolidation!H198</f>
        <v>0</v>
      </c>
      <c r="I198" s="14">
        <f>+[1]Consolidation!I198</f>
        <v>0</v>
      </c>
      <c r="J198" s="14">
        <f>+[1]Consolidation!J198</f>
        <v>0</v>
      </c>
      <c r="K198" s="14">
        <f>+[1]Consolidation!K198</f>
        <v>0</v>
      </c>
      <c r="L198" s="14">
        <f>+[1]Consolidation!L198</f>
        <v>0</v>
      </c>
      <c r="M198" s="16">
        <f>+[1]Consolidation!M198</f>
        <v>0</v>
      </c>
      <c r="N198" s="14">
        <f>+[1]Consolidation!N198</f>
        <v>0</v>
      </c>
      <c r="O198" s="14">
        <f>+[1]Consolidation!O198</f>
        <v>0</v>
      </c>
      <c r="P198" s="14">
        <f>+[1]Consolidation!P198</f>
        <v>0</v>
      </c>
      <c r="Q198" s="7">
        <f>+[1]Consolidation!Q198</f>
        <v>0</v>
      </c>
      <c r="R198" s="14">
        <f>+[1]Consolidation!R198</f>
        <v>0</v>
      </c>
      <c r="S198" s="7">
        <f>+[1]Consolidation!S198</f>
        <v>0</v>
      </c>
      <c r="T198" s="12">
        <f>+[1]Consolidation!T198</f>
        <v>0</v>
      </c>
    </row>
    <row r="199" spans="1:20" ht="19.2" customHeight="1" x14ac:dyDescent="0.3">
      <c r="A199" s="9" t="str">
        <f>+IF([1]Consolidation!A199=0,"",[1]Consolidation!A199)</f>
        <v/>
      </c>
      <c r="B199" s="7">
        <f>+[1]Consolidation!B199</f>
        <v>0</v>
      </c>
      <c r="C199" s="19">
        <f>+[1]Consolidation!C199</f>
        <v>0</v>
      </c>
      <c r="D199" s="20">
        <f>+[1]Consolidation!D199</f>
        <v>0</v>
      </c>
      <c r="E199" s="12">
        <f>+[1]Consolidation!E199</f>
        <v>0</v>
      </c>
      <c r="F199" s="7">
        <f>+[1]Consolidation!F199</f>
        <v>0</v>
      </c>
      <c r="G199" s="7"/>
      <c r="H199" s="7">
        <f>+[1]Consolidation!H199</f>
        <v>0</v>
      </c>
      <c r="I199" s="14">
        <f>+[1]Consolidation!I199</f>
        <v>0</v>
      </c>
      <c r="J199" s="14">
        <f>+[1]Consolidation!J199</f>
        <v>0</v>
      </c>
      <c r="K199" s="14">
        <f>+[1]Consolidation!K199</f>
        <v>0</v>
      </c>
      <c r="L199" s="14">
        <f>+[1]Consolidation!L199</f>
        <v>0</v>
      </c>
      <c r="M199" s="16">
        <f>+[1]Consolidation!M199</f>
        <v>0</v>
      </c>
      <c r="N199" s="14">
        <f>+[1]Consolidation!N199</f>
        <v>0</v>
      </c>
      <c r="O199" s="14">
        <f>+[1]Consolidation!O199</f>
        <v>0</v>
      </c>
      <c r="P199" s="14">
        <f>+[1]Consolidation!P199</f>
        <v>0</v>
      </c>
      <c r="Q199" s="7">
        <f>+[1]Consolidation!Q199</f>
        <v>0</v>
      </c>
      <c r="R199" s="14">
        <f>+[1]Consolidation!R199</f>
        <v>0</v>
      </c>
      <c r="S199" s="7">
        <f>+[1]Consolidation!S199</f>
        <v>0</v>
      </c>
      <c r="T199" s="12">
        <f>+[1]Consolidation!T199</f>
        <v>0</v>
      </c>
    </row>
    <row r="200" spans="1:20" ht="19.2" customHeight="1" x14ac:dyDescent="0.3">
      <c r="A200" s="9" t="str">
        <f>+IF([1]Consolidation!A200=0,"",[1]Consolidation!A200)</f>
        <v/>
      </c>
      <c r="B200" s="7">
        <f>+[1]Consolidation!B200</f>
        <v>0</v>
      </c>
      <c r="C200" s="19">
        <f>+[1]Consolidation!C200</f>
        <v>0</v>
      </c>
      <c r="D200" s="20">
        <f>+[1]Consolidation!D200</f>
        <v>0</v>
      </c>
      <c r="E200" s="12">
        <f>+[1]Consolidation!E200</f>
        <v>0</v>
      </c>
      <c r="F200" s="7">
        <f>+[1]Consolidation!F200</f>
        <v>0</v>
      </c>
      <c r="G200" s="7"/>
      <c r="H200" s="7">
        <f>+[1]Consolidation!H200</f>
        <v>0</v>
      </c>
      <c r="I200" s="14">
        <f>+[1]Consolidation!I200</f>
        <v>0</v>
      </c>
      <c r="J200" s="14">
        <f>+[1]Consolidation!J200</f>
        <v>0</v>
      </c>
      <c r="K200" s="14">
        <f>+[1]Consolidation!K200</f>
        <v>0</v>
      </c>
      <c r="L200" s="14">
        <f>+[1]Consolidation!L200</f>
        <v>0</v>
      </c>
      <c r="M200" s="16">
        <f>+[1]Consolidation!M200</f>
        <v>0</v>
      </c>
      <c r="N200" s="14">
        <f>+[1]Consolidation!N200</f>
        <v>0</v>
      </c>
      <c r="O200" s="14">
        <f>+[1]Consolidation!O200</f>
        <v>0</v>
      </c>
      <c r="P200" s="14">
        <f>+[1]Consolidation!P200</f>
        <v>0</v>
      </c>
      <c r="Q200" s="7">
        <f>+[1]Consolidation!Q200</f>
        <v>0</v>
      </c>
      <c r="R200" s="14">
        <f>+[1]Consolidation!R200</f>
        <v>0</v>
      </c>
      <c r="S200" s="7">
        <f>+[1]Consolidation!S200</f>
        <v>0</v>
      </c>
      <c r="T200" s="12">
        <f>+[1]Consolidation!T200</f>
        <v>0</v>
      </c>
    </row>
    <row r="201" spans="1:20" ht="19.2" customHeight="1" x14ac:dyDescent="0.3">
      <c r="A201" s="9" t="str">
        <f>+IF([1]Consolidation!A201=0,"",[1]Consolidation!A201)</f>
        <v/>
      </c>
      <c r="B201" s="7">
        <f>+[1]Consolidation!B201</f>
        <v>0</v>
      </c>
      <c r="C201" s="19">
        <f>+[1]Consolidation!C201</f>
        <v>0</v>
      </c>
      <c r="D201" s="20">
        <f>+[1]Consolidation!D201</f>
        <v>0</v>
      </c>
      <c r="E201" s="12">
        <f>+[1]Consolidation!E201</f>
        <v>0</v>
      </c>
      <c r="F201" s="7">
        <f>+[1]Consolidation!F201</f>
        <v>0</v>
      </c>
      <c r="G201" s="7"/>
      <c r="H201" s="7">
        <f>+[1]Consolidation!H201</f>
        <v>0</v>
      </c>
      <c r="I201" s="14">
        <f>+[1]Consolidation!I201</f>
        <v>0</v>
      </c>
      <c r="J201" s="14">
        <f>+[1]Consolidation!J201</f>
        <v>0</v>
      </c>
      <c r="K201" s="14">
        <f>+[1]Consolidation!K201</f>
        <v>0</v>
      </c>
      <c r="L201" s="14">
        <f>+[1]Consolidation!L201</f>
        <v>0</v>
      </c>
      <c r="M201" s="16">
        <f>+[1]Consolidation!M201</f>
        <v>0</v>
      </c>
      <c r="N201" s="14">
        <f>+[1]Consolidation!N201</f>
        <v>0</v>
      </c>
      <c r="O201" s="14">
        <f>+[1]Consolidation!O201</f>
        <v>0</v>
      </c>
      <c r="P201" s="14">
        <f>+[1]Consolidation!P201</f>
        <v>0</v>
      </c>
      <c r="Q201" s="7">
        <f>+[1]Consolidation!Q201</f>
        <v>0</v>
      </c>
      <c r="R201" s="14">
        <f>+[1]Consolidation!R201</f>
        <v>0</v>
      </c>
      <c r="S201" s="7">
        <f>+[1]Consolidation!S201</f>
        <v>0</v>
      </c>
      <c r="T201" s="12">
        <f>+[1]Consolidation!T201</f>
        <v>0</v>
      </c>
    </row>
    <row r="202" spans="1:20" ht="19.2" customHeight="1" x14ac:dyDescent="0.3">
      <c r="A202" s="9" t="str">
        <f>+IF([1]Consolidation!A202=0,"",[1]Consolidation!A202)</f>
        <v/>
      </c>
      <c r="B202" s="7">
        <f>+[1]Consolidation!B202</f>
        <v>0</v>
      </c>
      <c r="C202" s="19">
        <f>+[1]Consolidation!C202</f>
        <v>0</v>
      </c>
      <c r="D202" s="20">
        <f>+[1]Consolidation!D202</f>
        <v>0</v>
      </c>
      <c r="E202" s="12">
        <f>+[1]Consolidation!E202</f>
        <v>0</v>
      </c>
      <c r="F202" s="7">
        <f>+[1]Consolidation!F202</f>
        <v>0</v>
      </c>
      <c r="G202" s="7"/>
      <c r="H202" s="7">
        <f>+[1]Consolidation!H202</f>
        <v>0</v>
      </c>
      <c r="I202" s="14">
        <f>+[1]Consolidation!I202</f>
        <v>0</v>
      </c>
      <c r="J202" s="14">
        <f>+[1]Consolidation!J202</f>
        <v>0</v>
      </c>
      <c r="K202" s="14">
        <f>+[1]Consolidation!K202</f>
        <v>0</v>
      </c>
      <c r="L202" s="14">
        <f>+[1]Consolidation!L202</f>
        <v>0</v>
      </c>
      <c r="M202" s="16">
        <f>+[1]Consolidation!M202</f>
        <v>0</v>
      </c>
      <c r="N202" s="14">
        <f>+[1]Consolidation!N202</f>
        <v>0</v>
      </c>
      <c r="O202" s="14">
        <f>+[1]Consolidation!O202</f>
        <v>0</v>
      </c>
      <c r="P202" s="14">
        <f>+[1]Consolidation!P202</f>
        <v>0</v>
      </c>
      <c r="Q202" s="7">
        <f>+[1]Consolidation!Q202</f>
        <v>0</v>
      </c>
      <c r="R202" s="14">
        <f>+[1]Consolidation!R202</f>
        <v>0</v>
      </c>
      <c r="S202" s="7">
        <f>+[1]Consolidation!S202</f>
        <v>0</v>
      </c>
      <c r="T202" s="12">
        <f>+[1]Consolidation!T202</f>
        <v>0</v>
      </c>
    </row>
    <row r="203" spans="1:20" ht="19.2" customHeight="1" x14ac:dyDescent="0.3">
      <c r="A203" s="9" t="str">
        <f>+IF([1]Consolidation!A203=0,"",[1]Consolidation!A203)</f>
        <v/>
      </c>
      <c r="B203" s="7">
        <f>+[1]Consolidation!B203</f>
        <v>0</v>
      </c>
      <c r="C203" s="19">
        <f>+[1]Consolidation!C203</f>
        <v>0</v>
      </c>
      <c r="D203" s="20">
        <f>+[1]Consolidation!D203</f>
        <v>0</v>
      </c>
      <c r="E203" s="12">
        <f>+[1]Consolidation!E203</f>
        <v>0</v>
      </c>
      <c r="F203" s="7">
        <f>+[1]Consolidation!F203</f>
        <v>0</v>
      </c>
      <c r="G203" s="7"/>
      <c r="H203" s="7">
        <f>+[1]Consolidation!H203</f>
        <v>0</v>
      </c>
      <c r="I203" s="14">
        <f>+[1]Consolidation!I203</f>
        <v>0</v>
      </c>
      <c r="J203" s="14">
        <f>+[1]Consolidation!J203</f>
        <v>0</v>
      </c>
      <c r="K203" s="14">
        <f>+[1]Consolidation!K203</f>
        <v>0</v>
      </c>
      <c r="L203" s="14">
        <f>+[1]Consolidation!L203</f>
        <v>0</v>
      </c>
      <c r="M203" s="16">
        <f>+[1]Consolidation!M203</f>
        <v>0</v>
      </c>
      <c r="N203" s="14">
        <f>+[1]Consolidation!N203</f>
        <v>0</v>
      </c>
      <c r="O203" s="14">
        <f>+[1]Consolidation!O203</f>
        <v>0</v>
      </c>
      <c r="P203" s="14">
        <f>+[1]Consolidation!P203</f>
        <v>0</v>
      </c>
      <c r="Q203" s="7">
        <f>+[1]Consolidation!Q203</f>
        <v>0</v>
      </c>
      <c r="R203" s="14">
        <f>+[1]Consolidation!R203</f>
        <v>0</v>
      </c>
      <c r="S203" s="7">
        <f>+[1]Consolidation!S203</f>
        <v>0</v>
      </c>
      <c r="T203" s="12">
        <f>+[1]Consolidation!T203</f>
        <v>0</v>
      </c>
    </row>
    <row r="204" spans="1:20" ht="19.2" customHeight="1" x14ac:dyDescent="0.3">
      <c r="A204" s="9" t="str">
        <f>+IF([1]Consolidation!A204=0,"",[1]Consolidation!A204)</f>
        <v/>
      </c>
      <c r="B204" s="7">
        <f>+[1]Consolidation!B204</f>
        <v>0</v>
      </c>
      <c r="C204" s="19">
        <f>+[1]Consolidation!C204</f>
        <v>0</v>
      </c>
      <c r="D204" s="20">
        <f>+[1]Consolidation!D204</f>
        <v>0</v>
      </c>
      <c r="E204" s="12">
        <f>+[1]Consolidation!E204</f>
        <v>0</v>
      </c>
      <c r="F204" s="7">
        <f>+[1]Consolidation!F204</f>
        <v>0</v>
      </c>
      <c r="G204" s="7"/>
      <c r="H204" s="7">
        <f>+[1]Consolidation!H204</f>
        <v>0</v>
      </c>
      <c r="I204" s="14">
        <f>+[1]Consolidation!I204</f>
        <v>0</v>
      </c>
      <c r="J204" s="14">
        <f>+[1]Consolidation!J204</f>
        <v>0</v>
      </c>
      <c r="K204" s="14">
        <f>+[1]Consolidation!K204</f>
        <v>0</v>
      </c>
      <c r="L204" s="14">
        <f>+[1]Consolidation!L204</f>
        <v>0</v>
      </c>
      <c r="M204" s="16">
        <f>+[1]Consolidation!M204</f>
        <v>0</v>
      </c>
      <c r="N204" s="14">
        <f>+[1]Consolidation!N204</f>
        <v>0</v>
      </c>
      <c r="O204" s="14">
        <f>+[1]Consolidation!O204</f>
        <v>0</v>
      </c>
      <c r="P204" s="14">
        <f>+[1]Consolidation!P204</f>
        <v>0</v>
      </c>
      <c r="Q204" s="7">
        <f>+[1]Consolidation!Q204</f>
        <v>0</v>
      </c>
      <c r="R204" s="14">
        <f>+[1]Consolidation!R204</f>
        <v>0</v>
      </c>
      <c r="S204" s="7">
        <f>+[1]Consolidation!S204</f>
        <v>0</v>
      </c>
      <c r="T204" s="12">
        <f>+[1]Consolidation!T204</f>
        <v>0</v>
      </c>
    </row>
    <row r="205" spans="1:20" ht="19.2" customHeight="1" x14ac:dyDescent="0.3">
      <c r="A205" s="9" t="str">
        <f>+IF([1]Consolidation!A205=0,"",[1]Consolidation!A205)</f>
        <v/>
      </c>
      <c r="B205" s="7">
        <f>+[1]Consolidation!B205</f>
        <v>0</v>
      </c>
      <c r="C205" s="19">
        <f>+[1]Consolidation!C205</f>
        <v>0</v>
      </c>
      <c r="D205" s="20">
        <f>+[1]Consolidation!D205</f>
        <v>0</v>
      </c>
      <c r="E205" s="12">
        <f>+[1]Consolidation!E205</f>
        <v>0</v>
      </c>
      <c r="F205" s="7">
        <f>+[1]Consolidation!F205</f>
        <v>0</v>
      </c>
      <c r="G205" s="7"/>
      <c r="H205" s="7">
        <f>+[1]Consolidation!H205</f>
        <v>0</v>
      </c>
      <c r="I205" s="14">
        <f>+[1]Consolidation!I205</f>
        <v>0</v>
      </c>
      <c r="J205" s="14">
        <f>+[1]Consolidation!J205</f>
        <v>0</v>
      </c>
      <c r="K205" s="14">
        <f>+[1]Consolidation!K205</f>
        <v>0</v>
      </c>
      <c r="L205" s="14">
        <f>+[1]Consolidation!L205</f>
        <v>0</v>
      </c>
      <c r="M205" s="16">
        <f>+[1]Consolidation!M205</f>
        <v>0</v>
      </c>
      <c r="N205" s="14">
        <f>+[1]Consolidation!N205</f>
        <v>0</v>
      </c>
      <c r="O205" s="14">
        <f>+[1]Consolidation!O205</f>
        <v>0</v>
      </c>
      <c r="P205" s="14">
        <f>+[1]Consolidation!P205</f>
        <v>0</v>
      </c>
      <c r="Q205" s="7">
        <f>+[1]Consolidation!Q205</f>
        <v>0</v>
      </c>
      <c r="R205" s="14">
        <f>+[1]Consolidation!R205</f>
        <v>0</v>
      </c>
      <c r="S205" s="7">
        <f>+[1]Consolidation!S205</f>
        <v>0</v>
      </c>
      <c r="T205" s="12">
        <f>+[1]Consolidation!T205</f>
        <v>0</v>
      </c>
    </row>
    <row r="206" spans="1:20" ht="19.2" customHeight="1" x14ac:dyDescent="0.3">
      <c r="A206" s="9" t="str">
        <f>+IF([1]Consolidation!A206=0,"",[1]Consolidation!A206)</f>
        <v/>
      </c>
      <c r="B206" s="7">
        <f>+[1]Consolidation!B206</f>
        <v>0</v>
      </c>
      <c r="C206" s="19">
        <f>+[1]Consolidation!C206</f>
        <v>0</v>
      </c>
      <c r="D206" s="20">
        <f>+[1]Consolidation!D206</f>
        <v>0</v>
      </c>
      <c r="E206" s="12">
        <f>+[1]Consolidation!E206</f>
        <v>0</v>
      </c>
      <c r="F206" s="7">
        <f>+[1]Consolidation!F206</f>
        <v>0</v>
      </c>
      <c r="G206" s="7"/>
      <c r="H206" s="7">
        <f>+[1]Consolidation!H206</f>
        <v>0</v>
      </c>
      <c r="I206" s="14">
        <f>+[1]Consolidation!I206</f>
        <v>0</v>
      </c>
      <c r="J206" s="14">
        <f>+[1]Consolidation!J206</f>
        <v>0</v>
      </c>
      <c r="K206" s="14">
        <f>+[1]Consolidation!K206</f>
        <v>0</v>
      </c>
      <c r="L206" s="14">
        <f>+[1]Consolidation!L206</f>
        <v>0</v>
      </c>
      <c r="M206" s="16">
        <f>+[1]Consolidation!M206</f>
        <v>0</v>
      </c>
      <c r="N206" s="14">
        <f>+[1]Consolidation!N206</f>
        <v>0</v>
      </c>
      <c r="O206" s="14">
        <f>+[1]Consolidation!O206</f>
        <v>0</v>
      </c>
      <c r="P206" s="14">
        <f>+[1]Consolidation!P206</f>
        <v>0</v>
      </c>
      <c r="Q206" s="7">
        <f>+[1]Consolidation!Q206</f>
        <v>0</v>
      </c>
      <c r="R206" s="14">
        <f>+[1]Consolidation!R206</f>
        <v>0</v>
      </c>
      <c r="S206" s="7">
        <f>+[1]Consolidation!S206</f>
        <v>0</v>
      </c>
      <c r="T206" s="12">
        <f>+[1]Consolidation!T206</f>
        <v>0</v>
      </c>
    </row>
    <row r="207" spans="1:20" ht="19.2" customHeight="1" x14ac:dyDescent="0.3">
      <c r="A207" s="9" t="str">
        <f>+IF([1]Consolidation!A207=0,"",[1]Consolidation!A207)</f>
        <v/>
      </c>
      <c r="B207" s="7">
        <f>+[1]Consolidation!B207</f>
        <v>0</v>
      </c>
      <c r="C207" s="19">
        <f>+[1]Consolidation!C207</f>
        <v>0</v>
      </c>
      <c r="D207" s="20">
        <f>+[1]Consolidation!D207</f>
        <v>0</v>
      </c>
      <c r="E207" s="12">
        <f>+[1]Consolidation!E207</f>
        <v>0</v>
      </c>
      <c r="F207" s="7">
        <f>+[1]Consolidation!F207</f>
        <v>0</v>
      </c>
      <c r="G207" s="7"/>
      <c r="H207" s="7">
        <f>+[1]Consolidation!H207</f>
        <v>0</v>
      </c>
      <c r="I207" s="14">
        <f>+[1]Consolidation!I207</f>
        <v>0</v>
      </c>
      <c r="J207" s="14">
        <f>+[1]Consolidation!J207</f>
        <v>0</v>
      </c>
      <c r="K207" s="14">
        <f>+[1]Consolidation!K207</f>
        <v>0</v>
      </c>
      <c r="L207" s="14">
        <f>+[1]Consolidation!L207</f>
        <v>0</v>
      </c>
      <c r="M207" s="16">
        <f>+[1]Consolidation!M207</f>
        <v>0</v>
      </c>
      <c r="N207" s="14">
        <f>+[1]Consolidation!N207</f>
        <v>0</v>
      </c>
      <c r="O207" s="14">
        <f>+[1]Consolidation!O207</f>
        <v>0</v>
      </c>
      <c r="P207" s="14">
        <f>+[1]Consolidation!P207</f>
        <v>0</v>
      </c>
      <c r="Q207" s="7">
        <f>+[1]Consolidation!Q207</f>
        <v>0</v>
      </c>
      <c r="R207" s="14">
        <f>+[1]Consolidation!R207</f>
        <v>0</v>
      </c>
      <c r="S207" s="7">
        <f>+[1]Consolidation!S207</f>
        <v>0</v>
      </c>
      <c r="T207" s="12">
        <f>+[1]Consolidation!T207</f>
        <v>0</v>
      </c>
    </row>
    <row r="208" spans="1:20" ht="19.2" customHeight="1" x14ac:dyDescent="0.3">
      <c r="A208" s="9" t="str">
        <f>+IF([1]Consolidation!A208=0,"",[1]Consolidation!A208)</f>
        <v/>
      </c>
      <c r="B208" s="7">
        <f>+[1]Consolidation!B208</f>
        <v>0</v>
      </c>
      <c r="C208" s="19">
        <f>+[1]Consolidation!C208</f>
        <v>0</v>
      </c>
      <c r="D208" s="20">
        <f>+[1]Consolidation!D208</f>
        <v>0</v>
      </c>
      <c r="E208" s="12">
        <f>+[1]Consolidation!E208</f>
        <v>0</v>
      </c>
      <c r="F208" s="7">
        <f>+[1]Consolidation!F208</f>
        <v>0</v>
      </c>
      <c r="G208" s="7"/>
      <c r="H208" s="7">
        <f>+[1]Consolidation!H208</f>
        <v>0</v>
      </c>
      <c r="I208" s="14">
        <f>+[1]Consolidation!I208</f>
        <v>0</v>
      </c>
      <c r="J208" s="14">
        <f>+[1]Consolidation!J208</f>
        <v>0</v>
      </c>
      <c r="K208" s="14">
        <f>+[1]Consolidation!K208</f>
        <v>0</v>
      </c>
      <c r="L208" s="14">
        <f>+[1]Consolidation!L208</f>
        <v>0</v>
      </c>
      <c r="M208" s="16">
        <f>+[1]Consolidation!M208</f>
        <v>0</v>
      </c>
      <c r="N208" s="14">
        <f>+[1]Consolidation!N208</f>
        <v>0</v>
      </c>
      <c r="O208" s="14">
        <f>+[1]Consolidation!O208</f>
        <v>0</v>
      </c>
      <c r="P208" s="14">
        <f>+[1]Consolidation!P208</f>
        <v>0</v>
      </c>
      <c r="Q208" s="7">
        <f>+[1]Consolidation!Q208</f>
        <v>0</v>
      </c>
      <c r="R208" s="14">
        <f>+[1]Consolidation!R208</f>
        <v>0</v>
      </c>
      <c r="S208" s="7">
        <f>+[1]Consolidation!S208</f>
        <v>0</v>
      </c>
      <c r="T208" s="12">
        <f>+[1]Consolidation!T208</f>
        <v>0</v>
      </c>
    </row>
    <row r="209" spans="1:20" ht="19.2" customHeight="1" x14ac:dyDescent="0.3">
      <c r="A209" s="9" t="str">
        <f>+IF([1]Consolidation!A209=0,"",[1]Consolidation!A209)</f>
        <v/>
      </c>
      <c r="B209" s="7">
        <f>+[1]Consolidation!B209</f>
        <v>0</v>
      </c>
      <c r="C209" s="19">
        <f>+[1]Consolidation!C209</f>
        <v>0</v>
      </c>
      <c r="D209" s="20">
        <f>+[1]Consolidation!D209</f>
        <v>0</v>
      </c>
      <c r="E209" s="12">
        <f>+[1]Consolidation!E209</f>
        <v>0</v>
      </c>
      <c r="F209" s="7">
        <f>+[1]Consolidation!F209</f>
        <v>0</v>
      </c>
      <c r="G209" s="7"/>
      <c r="H209" s="7">
        <f>+[1]Consolidation!H209</f>
        <v>0</v>
      </c>
      <c r="I209" s="14">
        <f>+[1]Consolidation!I209</f>
        <v>0</v>
      </c>
      <c r="J209" s="14">
        <f>+[1]Consolidation!J209</f>
        <v>0</v>
      </c>
      <c r="K209" s="14">
        <f>+[1]Consolidation!K209</f>
        <v>0</v>
      </c>
      <c r="L209" s="14">
        <f>+[1]Consolidation!L209</f>
        <v>0</v>
      </c>
      <c r="M209" s="16">
        <f>+[1]Consolidation!M209</f>
        <v>0</v>
      </c>
      <c r="N209" s="14">
        <f>+[1]Consolidation!N209</f>
        <v>0</v>
      </c>
      <c r="O209" s="14">
        <f>+[1]Consolidation!O209</f>
        <v>0</v>
      </c>
      <c r="P209" s="14">
        <f>+[1]Consolidation!P209</f>
        <v>0</v>
      </c>
      <c r="Q209" s="7">
        <f>+[1]Consolidation!Q209</f>
        <v>0</v>
      </c>
      <c r="R209" s="14">
        <f>+[1]Consolidation!R209</f>
        <v>0</v>
      </c>
      <c r="S209" s="7">
        <f>+[1]Consolidation!S209</f>
        <v>0</v>
      </c>
      <c r="T209" s="12">
        <f>+[1]Consolidation!T209</f>
        <v>0</v>
      </c>
    </row>
    <row r="210" spans="1:20" ht="19.2" customHeight="1" x14ac:dyDescent="0.3">
      <c r="A210" s="9" t="str">
        <f>+IF([1]Consolidation!A210=0,"",[1]Consolidation!A210)</f>
        <v/>
      </c>
      <c r="B210" s="7">
        <f>+[1]Consolidation!B210</f>
        <v>0</v>
      </c>
      <c r="C210" s="19">
        <f>+[1]Consolidation!C210</f>
        <v>0</v>
      </c>
      <c r="D210" s="20">
        <f>+[1]Consolidation!D210</f>
        <v>0</v>
      </c>
      <c r="E210" s="12">
        <f>+[1]Consolidation!E210</f>
        <v>0</v>
      </c>
      <c r="F210" s="7">
        <f>+[1]Consolidation!F210</f>
        <v>0</v>
      </c>
      <c r="G210" s="7"/>
      <c r="H210" s="7">
        <f>+[1]Consolidation!H210</f>
        <v>0</v>
      </c>
      <c r="I210" s="14">
        <f>+[1]Consolidation!I210</f>
        <v>0</v>
      </c>
      <c r="J210" s="14">
        <f>+[1]Consolidation!J210</f>
        <v>0</v>
      </c>
      <c r="K210" s="14">
        <f>+[1]Consolidation!K210</f>
        <v>0</v>
      </c>
      <c r="L210" s="14">
        <f>+[1]Consolidation!L210</f>
        <v>0</v>
      </c>
      <c r="M210" s="16">
        <f>+[1]Consolidation!M210</f>
        <v>0</v>
      </c>
      <c r="N210" s="14">
        <f>+[1]Consolidation!N210</f>
        <v>0</v>
      </c>
      <c r="O210" s="14">
        <f>+[1]Consolidation!O210</f>
        <v>0</v>
      </c>
      <c r="P210" s="14">
        <f>+[1]Consolidation!P210</f>
        <v>0</v>
      </c>
      <c r="Q210" s="7">
        <f>+[1]Consolidation!Q210</f>
        <v>0</v>
      </c>
      <c r="R210" s="14">
        <f>+[1]Consolidation!R210</f>
        <v>0</v>
      </c>
      <c r="S210" s="7">
        <f>+[1]Consolidation!S210</f>
        <v>0</v>
      </c>
      <c r="T210" s="12">
        <f>+[1]Consolidation!T210</f>
        <v>0</v>
      </c>
    </row>
    <row r="211" spans="1:20" ht="19.2" customHeight="1" x14ac:dyDescent="0.3">
      <c r="A211" s="9" t="str">
        <f>+IF([1]Consolidation!A211=0,"",[1]Consolidation!A211)</f>
        <v/>
      </c>
      <c r="B211" s="7">
        <f>+[1]Consolidation!B211</f>
        <v>0</v>
      </c>
      <c r="C211" s="19">
        <f>+[1]Consolidation!C211</f>
        <v>0</v>
      </c>
      <c r="D211" s="20">
        <f>+[1]Consolidation!D211</f>
        <v>0</v>
      </c>
      <c r="E211" s="12">
        <f>+[1]Consolidation!E211</f>
        <v>0</v>
      </c>
      <c r="F211" s="7">
        <f>+[1]Consolidation!F211</f>
        <v>0</v>
      </c>
      <c r="G211" s="7"/>
      <c r="H211" s="7">
        <f>+[1]Consolidation!H211</f>
        <v>0</v>
      </c>
      <c r="I211" s="14">
        <f>+[1]Consolidation!I211</f>
        <v>0</v>
      </c>
      <c r="J211" s="14">
        <f>+[1]Consolidation!J211</f>
        <v>0</v>
      </c>
      <c r="K211" s="14">
        <f>+[1]Consolidation!K211</f>
        <v>0</v>
      </c>
      <c r="L211" s="14">
        <f>+[1]Consolidation!L211</f>
        <v>0</v>
      </c>
      <c r="M211" s="16">
        <f>+[1]Consolidation!M211</f>
        <v>0</v>
      </c>
      <c r="N211" s="14">
        <f>+[1]Consolidation!N211</f>
        <v>0</v>
      </c>
      <c r="O211" s="14">
        <f>+[1]Consolidation!O211</f>
        <v>0</v>
      </c>
      <c r="P211" s="14">
        <f>+[1]Consolidation!P211</f>
        <v>0</v>
      </c>
      <c r="Q211" s="7">
        <f>+[1]Consolidation!Q211</f>
        <v>0</v>
      </c>
      <c r="R211" s="14">
        <f>+[1]Consolidation!R211</f>
        <v>0</v>
      </c>
      <c r="S211" s="7">
        <f>+[1]Consolidation!S211</f>
        <v>0</v>
      </c>
      <c r="T211" s="12">
        <f>+[1]Consolidation!T211</f>
        <v>0</v>
      </c>
    </row>
    <row r="212" spans="1:20" ht="19.2" customHeight="1" x14ac:dyDescent="0.3">
      <c r="A212" s="9" t="str">
        <f>+IF([1]Consolidation!A212=0,"",[1]Consolidation!A212)</f>
        <v/>
      </c>
      <c r="B212" s="7">
        <f>+[1]Consolidation!B212</f>
        <v>0</v>
      </c>
      <c r="C212" s="19">
        <f>+[1]Consolidation!C212</f>
        <v>0</v>
      </c>
      <c r="D212" s="20">
        <f>+[1]Consolidation!D212</f>
        <v>0</v>
      </c>
      <c r="E212" s="12">
        <f>+[1]Consolidation!E212</f>
        <v>0</v>
      </c>
      <c r="F212" s="7">
        <f>+[1]Consolidation!F212</f>
        <v>0</v>
      </c>
      <c r="G212" s="7"/>
      <c r="H212" s="7">
        <f>+[1]Consolidation!H212</f>
        <v>0</v>
      </c>
      <c r="I212" s="14">
        <f>+[1]Consolidation!I212</f>
        <v>0</v>
      </c>
      <c r="J212" s="14">
        <f>+[1]Consolidation!J212</f>
        <v>0</v>
      </c>
      <c r="K212" s="14">
        <f>+[1]Consolidation!K212</f>
        <v>0</v>
      </c>
      <c r="L212" s="14">
        <f>+[1]Consolidation!L212</f>
        <v>0</v>
      </c>
      <c r="M212" s="16">
        <f>+[1]Consolidation!M212</f>
        <v>0</v>
      </c>
      <c r="N212" s="14">
        <f>+[1]Consolidation!N212</f>
        <v>0</v>
      </c>
      <c r="O212" s="14">
        <f>+[1]Consolidation!O212</f>
        <v>0</v>
      </c>
      <c r="P212" s="14">
        <f>+[1]Consolidation!P212</f>
        <v>0</v>
      </c>
      <c r="Q212" s="7">
        <f>+[1]Consolidation!Q212</f>
        <v>0</v>
      </c>
      <c r="R212" s="14">
        <f>+[1]Consolidation!R212</f>
        <v>0</v>
      </c>
      <c r="S212" s="7">
        <f>+[1]Consolidation!S212</f>
        <v>0</v>
      </c>
      <c r="T212" s="12">
        <f>+[1]Consolidation!T212</f>
        <v>0</v>
      </c>
    </row>
    <row r="213" spans="1:20" ht="19.2" customHeight="1" x14ac:dyDescent="0.3">
      <c r="A213" s="9" t="str">
        <f>+IF([1]Consolidation!A213=0,"",[1]Consolidation!A213)</f>
        <v/>
      </c>
      <c r="B213" s="7">
        <f>+[1]Consolidation!B213</f>
        <v>0</v>
      </c>
      <c r="C213" s="19">
        <f>+[1]Consolidation!C213</f>
        <v>0</v>
      </c>
      <c r="D213" s="20">
        <f>+[1]Consolidation!D213</f>
        <v>0</v>
      </c>
      <c r="E213" s="12">
        <f>+[1]Consolidation!E213</f>
        <v>0</v>
      </c>
      <c r="F213" s="7">
        <f>+[1]Consolidation!F213</f>
        <v>0</v>
      </c>
      <c r="G213" s="7"/>
      <c r="H213" s="7">
        <f>+[1]Consolidation!H213</f>
        <v>0</v>
      </c>
      <c r="I213" s="14">
        <f>+[1]Consolidation!I213</f>
        <v>0</v>
      </c>
      <c r="J213" s="14">
        <f>+[1]Consolidation!J213</f>
        <v>0</v>
      </c>
      <c r="K213" s="14">
        <f>+[1]Consolidation!K213</f>
        <v>0</v>
      </c>
      <c r="L213" s="14">
        <f>+[1]Consolidation!L213</f>
        <v>0</v>
      </c>
      <c r="M213" s="16">
        <f>+[1]Consolidation!M213</f>
        <v>0</v>
      </c>
      <c r="N213" s="14">
        <f>+[1]Consolidation!N213</f>
        <v>0</v>
      </c>
      <c r="O213" s="14">
        <f>+[1]Consolidation!O213</f>
        <v>0</v>
      </c>
      <c r="P213" s="14">
        <f>+[1]Consolidation!P213</f>
        <v>0</v>
      </c>
      <c r="Q213" s="7">
        <f>+[1]Consolidation!Q213</f>
        <v>0</v>
      </c>
      <c r="R213" s="14">
        <f>+[1]Consolidation!R213</f>
        <v>0</v>
      </c>
      <c r="S213" s="7">
        <f>+[1]Consolidation!S213</f>
        <v>0</v>
      </c>
      <c r="T213" s="12">
        <f>+[1]Consolidation!T213</f>
        <v>0</v>
      </c>
    </row>
    <row r="214" spans="1:20" ht="19.2" customHeight="1" x14ac:dyDescent="0.3">
      <c r="A214" s="9" t="str">
        <f>+IF([1]Consolidation!A214=0,"",[1]Consolidation!A214)</f>
        <v/>
      </c>
      <c r="B214" s="7">
        <f>+[1]Consolidation!B214</f>
        <v>0</v>
      </c>
      <c r="C214" s="19">
        <f>+[1]Consolidation!C214</f>
        <v>0</v>
      </c>
      <c r="D214" s="20">
        <f>+[1]Consolidation!D214</f>
        <v>0</v>
      </c>
      <c r="E214" s="12">
        <f>+[1]Consolidation!E214</f>
        <v>0</v>
      </c>
      <c r="F214" s="7">
        <f>+[1]Consolidation!F214</f>
        <v>0</v>
      </c>
      <c r="G214" s="7"/>
      <c r="H214" s="7">
        <f>+[1]Consolidation!H214</f>
        <v>0</v>
      </c>
      <c r="I214" s="14">
        <f>+[1]Consolidation!I214</f>
        <v>0</v>
      </c>
      <c r="J214" s="14">
        <f>+[1]Consolidation!J214</f>
        <v>0</v>
      </c>
      <c r="K214" s="14">
        <f>+[1]Consolidation!K214</f>
        <v>0</v>
      </c>
      <c r="L214" s="14">
        <f>+[1]Consolidation!L214</f>
        <v>0</v>
      </c>
      <c r="M214" s="16">
        <f>+[1]Consolidation!M214</f>
        <v>0</v>
      </c>
      <c r="N214" s="14">
        <f>+[1]Consolidation!N214</f>
        <v>0</v>
      </c>
      <c r="O214" s="14">
        <f>+[1]Consolidation!O214</f>
        <v>0</v>
      </c>
      <c r="P214" s="14">
        <f>+[1]Consolidation!P214</f>
        <v>0</v>
      </c>
      <c r="Q214" s="7">
        <f>+[1]Consolidation!Q214</f>
        <v>0</v>
      </c>
      <c r="R214" s="14">
        <f>+[1]Consolidation!R214</f>
        <v>0</v>
      </c>
      <c r="S214" s="7">
        <f>+[1]Consolidation!S214</f>
        <v>0</v>
      </c>
      <c r="T214" s="12">
        <f>+[1]Consolidation!T214</f>
        <v>0</v>
      </c>
    </row>
    <row r="215" spans="1:20" ht="19.2" customHeight="1" x14ac:dyDescent="0.3">
      <c r="A215" s="9" t="str">
        <f>+IF([1]Consolidation!A215=0,"",[1]Consolidation!A215)</f>
        <v/>
      </c>
      <c r="B215" s="7">
        <f>+[1]Consolidation!B215</f>
        <v>0</v>
      </c>
      <c r="C215" s="19">
        <f>+[1]Consolidation!C215</f>
        <v>0</v>
      </c>
      <c r="D215" s="20">
        <f>+[1]Consolidation!D215</f>
        <v>0</v>
      </c>
      <c r="E215" s="12">
        <f>+[1]Consolidation!E215</f>
        <v>0</v>
      </c>
      <c r="F215" s="7">
        <f>+[1]Consolidation!F215</f>
        <v>0</v>
      </c>
      <c r="G215" s="7"/>
      <c r="H215" s="7">
        <f>+[1]Consolidation!H215</f>
        <v>0</v>
      </c>
      <c r="I215" s="14">
        <f>+[1]Consolidation!I215</f>
        <v>0</v>
      </c>
      <c r="J215" s="14">
        <f>+[1]Consolidation!J215</f>
        <v>0</v>
      </c>
      <c r="K215" s="14">
        <f>+[1]Consolidation!K215</f>
        <v>0</v>
      </c>
      <c r="L215" s="14">
        <f>+[1]Consolidation!L215</f>
        <v>0</v>
      </c>
      <c r="M215" s="16">
        <f>+[1]Consolidation!M215</f>
        <v>0</v>
      </c>
      <c r="N215" s="14">
        <f>+[1]Consolidation!N215</f>
        <v>0</v>
      </c>
      <c r="O215" s="14">
        <f>+[1]Consolidation!O215</f>
        <v>0</v>
      </c>
      <c r="P215" s="14">
        <f>+[1]Consolidation!P215</f>
        <v>0</v>
      </c>
      <c r="Q215" s="7">
        <f>+[1]Consolidation!Q215</f>
        <v>0</v>
      </c>
      <c r="R215" s="14">
        <f>+[1]Consolidation!R215</f>
        <v>0</v>
      </c>
      <c r="S215" s="7">
        <f>+[1]Consolidation!S215</f>
        <v>0</v>
      </c>
      <c r="T215" s="12">
        <f>+[1]Consolidation!T215</f>
        <v>0</v>
      </c>
    </row>
    <row r="216" spans="1:20" ht="19.2" customHeight="1" x14ac:dyDescent="0.3">
      <c r="A216" s="9" t="str">
        <f>+IF([1]Consolidation!A216=0,"",[1]Consolidation!A216)</f>
        <v/>
      </c>
      <c r="B216" s="7">
        <f>+[1]Consolidation!B216</f>
        <v>0</v>
      </c>
      <c r="C216" s="19">
        <f>+[1]Consolidation!C216</f>
        <v>0</v>
      </c>
      <c r="D216" s="20">
        <f>+[1]Consolidation!D216</f>
        <v>0</v>
      </c>
      <c r="E216" s="12">
        <f>+[1]Consolidation!E216</f>
        <v>0</v>
      </c>
      <c r="F216" s="7">
        <f>+[1]Consolidation!F216</f>
        <v>0</v>
      </c>
      <c r="G216" s="7"/>
      <c r="H216" s="7">
        <f>+[1]Consolidation!H216</f>
        <v>0</v>
      </c>
      <c r="I216" s="14">
        <f>+[1]Consolidation!I216</f>
        <v>0</v>
      </c>
      <c r="J216" s="14">
        <f>+[1]Consolidation!J216</f>
        <v>0</v>
      </c>
      <c r="K216" s="14">
        <f>+[1]Consolidation!K216</f>
        <v>0</v>
      </c>
      <c r="L216" s="14">
        <f>+[1]Consolidation!L216</f>
        <v>0</v>
      </c>
      <c r="M216" s="16">
        <f>+[1]Consolidation!M216</f>
        <v>0</v>
      </c>
      <c r="N216" s="14">
        <f>+[1]Consolidation!N216</f>
        <v>0</v>
      </c>
      <c r="O216" s="14">
        <f>+[1]Consolidation!O216</f>
        <v>0</v>
      </c>
      <c r="P216" s="14">
        <f>+[1]Consolidation!P216</f>
        <v>0</v>
      </c>
      <c r="Q216" s="7">
        <f>+[1]Consolidation!Q216</f>
        <v>0</v>
      </c>
      <c r="R216" s="14">
        <f>+[1]Consolidation!R216</f>
        <v>0</v>
      </c>
      <c r="S216" s="7">
        <f>+[1]Consolidation!S216</f>
        <v>0</v>
      </c>
      <c r="T216" s="12">
        <f>+[1]Consolidation!T216</f>
        <v>0</v>
      </c>
    </row>
    <row r="217" spans="1:20" ht="19.2" customHeight="1" x14ac:dyDescent="0.3">
      <c r="A217" s="9" t="str">
        <f>+IF([1]Consolidation!A217=0,"",[1]Consolidation!A217)</f>
        <v/>
      </c>
      <c r="B217" s="7">
        <f>+[1]Consolidation!B217</f>
        <v>0</v>
      </c>
      <c r="C217" s="19">
        <f>+[1]Consolidation!C217</f>
        <v>0</v>
      </c>
      <c r="D217" s="20">
        <f>+[1]Consolidation!D217</f>
        <v>0</v>
      </c>
      <c r="E217" s="12">
        <f>+[1]Consolidation!E217</f>
        <v>0</v>
      </c>
      <c r="F217" s="7">
        <f>+[1]Consolidation!F217</f>
        <v>0</v>
      </c>
      <c r="G217" s="7"/>
      <c r="H217" s="7">
        <f>+[1]Consolidation!H217</f>
        <v>0</v>
      </c>
      <c r="I217" s="14">
        <f>+[1]Consolidation!I217</f>
        <v>0</v>
      </c>
      <c r="J217" s="14">
        <f>+[1]Consolidation!J217</f>
        <v>0</v>
      </c>
      <c r="K217" s="14">
        <f>+[1]Consolidation!K217</f>
        <v>0</v>
      </c>
      <c r="L217" s="14">
        <f>+[1]Consolidation!L217</f>
        <v>0</v>
      </c>
      <c r="M217" s="16">
        <f>+[1]Consolidation!M217</f>
        <v>0</v>
      </c>
      <c r="N217" s="14">
        <f>+[1]Consolidation!N217</f>
        <v>0</v>
      </c>
      <c r="O217" s="14">
        <f>+[1]Consolidation!O217</f>
        <v>0</v>
      </c>
      <c r="P217" s="14">
        <f>+[1]Consolidation!P217</f>
        <v>0</v>
      </c>
      <c r="Q217" s="7">
        <f>+[1]Consolidation!Q217</f>
        <v>0</v>
      </c>
      <c r="R217" s="14">
        <f>+[1]Consolidation!R217</f>
        <v>0</v>
      </c>
      <c r="S217" s="7">
        <f>+[1]Consolidation!S217</f>
        <v>0</v>
      </c>
      <c r="T217" s="12">
        <f>+[1]Consolidation!T217</f>
        <v>0</v>
      </c>
    </row>
    <row r="218" spans="1:20" ht="19.2" customHeight="1" x14ac:dyDescent="0.3">
      <c r="A218" s="9" t="str">
        <f>+IF([1]Consolidation!A218=0,"",[1]Consolidation!A218)</f>
        <v/>
      </c>
      <c r="B218" s="7">
        <f>+[1]Consolidation!B218</f>
        <v>0</v>
      </c>
      <c r="C218" s="19">
        <f>+[1]Consolidation!C218</f>
        <v>0</v>
      </c>
      <c r="D218" s="20">
        <f>+[1]Consolidation!D218</f>
        <v>0</v>
      </c>
      <c r="E218" s="12">
        <f>+[1]Consolidation!E218</f>
        <v>0</v>
      </c>
      <c r="F218" s="7">
        <f>+[1]Consolidation!F218</f>
        <v>0</v>
      </c>
      <c r="G218" s="7"/>
      <c r="H218" s="7">
        <f>+[1]Consolidation!H218</f>
        <v>0</v>
      </c>
      <c r="I218" s="14">
        <f>+[1]Consolidation!I218</f>
        <v>0</v>
      </c>
      <c r="J218" s="14">
        <f>+[1]Consolidation!J218</f>
        <v>0</v>
      </c>
      <c r="K218" s="14">
        <f>+[1]Consolidation!K218</f>
        <v>0</v>
      </c>
      <c r="L218" s="14">
        <f>+[1]Consolidation!L218</f>
        <v>0</v>
      </c>
      <c r="M218" s="16">
        <f>+[1]Consolidation!M218</f>
        <v>0</v>
      </c>
      <c r="N218" s="14">
        <f>+[1]Consolidation!N218</f>
        <v>0</v>
      </c>
      <c r="O218" s="14">
        <f>+[1]Consolidation!O218</f>
        <v>0</v>
      </c>
      <c r="P218" s="14">
        <f>+[1]Consolidation!P218</f>
        <v>0</v>
      </c>
      <c r="Q218" s="7">
        <f>+[1]Consolidation!Q218</f>
        <v>0</v>
      </c>
      <c r="R218" s="14">
        <f>+[1]Consolidation!R218</f>
        <v>0</v>
      </c>
      <c r="S218" s="7">
        <f>+[1]Consolidation!S218</f>
        <v>0</v>
      </c>
      <c r="T218" s="12">
        <f>+[1]Consolidation!T218</f>
        <v>0</v>
      </c>
    </row>
    <row r="219" spans="1:20" ht="19.2" customHeight="1" x14ac:dyDescent="0.3">
      <c r="A219" s="9" t="str">
        <f>+IF([1]Consolidation!A219=0,"",[1]Consolidation!A219)</f>
        <v/>
      </c>
      <c r="B219" s="7">
        <f>+[1]Consolidation!B219</f>
        <v>0</v>
      </c>
      <c r="C219" s="19">
        <f>+[1]Consolidation!C219</f>
        <v>0</v>
      </c>
      <c r="D219" s="20">
        <f>+[1]Consolidation!D219</f>
        <v>0</v>
      </c>
      <c r="E219" s="12">
        <f>+[1]Consolidation!E219</f>
        <v>0</v>
      </c>
      <c r="F219" s="7">
        <f>+[1]Consolidation!F219</f>
        <v>0</v>
      </c>
      <c r="G219" s="7"/>
      <c r="H219" s="7">
        <f>+[1]Consolidation!H219</f>
        <v>0</v>
      </c>
      <c r="I219" s="14">
        <f>+[1]Consolidation!I219</f>
        <v>0</v>
      </c>
      <c r="J219" s="14">
        <f>+[1]Consolidation!J219</f>
        <v>0</v>
      </c>
      <c r="K219" s="14">
        <f>+[1]Consolidation!K219</f>
        <v>0</v>
      </c>
      <c r="L219" s="14">
        <f>+[1]Consolidation!L219</f>
        <v>0</v>
      </c>
      <c r="M219" s="16">
        <f>+[1]Consolidation!M219</f>
        <v>0</v>
      </c>
      <c r="N219" s="14">
        <f>+[1]Consolidation!N219</f>
        <v>0</v>
      </c>
      <c r="O219" s="14">
        <f>+[1]Consolidation!O219</f>
        <v>0</v>
      </c>
      <c r="P219" s="14">
        <f>+[1]Consolidation!P219</f>
        <v>0</v>
      </c>
      <c r="Q219" s="7">
        <f>+[1]Consolidation!Q219</f>
        <v>0</v>
      </c>
      <c r="R219" s="14">
        <f>+[1]Consolidation!R219</f>
        <v>0</v>
      </c>
      <c r="S219" s="7">
        <f>+[1]Consolidation!S219</f>
        <v>0</v>
      </c>
      <c r="T219" s="12">
        <f>+[1]Consolidation!T219</f>
        <v>0</v>
      </c>
    </row>
    <row r="220" spans="1:20" ht="19.2" customHeight="1" x14ac:dyDescent="0.3">
      <c r="A220" s="9" t="str">
        <f>+IF([1]Consolidation!A220=0,"",[1]Consolidation!A220)</f>
        <v/>
      </c>
      <c r="B220" s="7">
        <f>+[1]Consolidation!B220</f>
        <v>0</v>
      </c>
      <c r="C220" s="19">
        <f>+[1]Consolidation!C220</f>
        <v>0</v>
      </c>
      <c r="D220" s="20">
        <f>+[1]Consolidation!D220</f>
        <v>0</v>
      </c>
      <c r="E220" s="12">
        <f>+[1]Consolidation!E220</f>
        <v>0</v>
      </c>
      <c r="F220" s="7">
        <f>+[1]Consolidation!F220</f>
        <v>0</v>
      </c>
      <c r="G220" s="7"/>
      <c r="H220" s="7">
        <f>+[1]Consolidation!H220</f>
        <v>0</v>
      </c>
      <c r="I220" s="14">
        <f>+[1]Consolidation!I220</f>
        <v>0</v>
      </c>
      <c r="J220" s="14">
        <f>+[1]Consolidation!J220</f>
        <v>0</v>
      </c>
      <c r="K220" s="14">
        <f>+[1]Consolidation!K220</f>
        <v>0</v>
      </c>
      <c r="L220" s="14">
        <f>+[1]Consolidation!L220</f>
        <v>0</v>
      </c>
      <c r="M220" s="16">
        <f>+[1]Consolidation!M220</f>
        <v>0</v>
      </c>
      <c r="N220" s="14">
        <f>+[1]Consolidation!N220</f>
        <v>0</v>
      </c>
      <c r="O220" s="14">
        <f>+[1]Consolidation!O220</f>
        <v>0</v>
      </c>
      <c r="P220" s="14">
        <f>+[1]Consolidation!P220</f>
        <v>0</v>
      </c>
      <c r="Q220" s="7">
        <f>+[1]Consolidation!Q220</f>
        <v>0</v>
      </c>
      <c r="R220" s="14">
        <f>+[1]Consolidation!R220</f>
        <v>0</v>
      </c>
      <c r="S220" s="7">
        <f>+[1]Consolidation!S220</f>
        <v>0</v>
      </c>
      <c r="T220" s="12">
        <f>+[1]Consolidation!T220</f>
        <v>0</v>
      </c>
    </row>
    <row r="221" spans="1:20" ht="19.2" customHeight="1" x14ac:dyDescent="0.3">
      <c r="A221" s="9" t="str">
        <f>+IF([1]Consolidation!A221=0,"",[1]Consolidation!A221)</f>
        <v/>
      </c>
      <c r="B221" s="7">
        <f>+[1]Consolidation!B221</f>
        <v>0</v>
      </c>
      <c r="C221" s="19">
        <f>+[1]Consolidation!C221</f>
        <v>0</v>
      </c>
      <c r="D221" s="20">
        <f>+[1]Consolidation!D221</f>
        <v>0</v>
      </c>
      <c r="E221" s="12">
        <f>+[1]Consolidation!E221</f>
        <v>0</v>
      </c>
      <c r="F221" s="7">
        <f>+[1]Consolidation!F221</f>
        <v>0</v>
      </c>
      <c r="G221" s="7"/>
      <c r="H221" s="7">
        <f>+[1]Consolidation!H221</f>
        <v>0</v>
      </c>
      <c r="I221" s="14">
        <f>+[1]Consolidation!I221</f>
        <v>0</v>
      </c>
      <c r="J221" s="14">
        <f>+[1]Consolidation!J221</f>
        <v>0</v>
      </c>
      <c r="K221" s="14">
        <f>+[1]Consolidation!K221</f>
        <v>0</v>
      </c>
      <c r="L221" s="14">
        <f>+[1]Consolidation!L221</f>
        <v>0</v>
      </c>
      <c r="M221" s="16">
        <f>+[1]Consolidation!M221</f>
        <v>0</v>
      </c>
      <c r="N221" s="14">
        <f>+[1]Consolidation!N221</f>
        <v>0</v>
      </c>
      <c r="O221" s="14">
        <f>+[1]Consolidation!O221</f>
        <v>0</v>
      </c>
      <c r="P221" s="14">
        <f>+[1]Consolidation!P221</f>
        <v>0</v>
      </c>
      <c r="Q221" s="7">
        <f>+[1]Consolidation!Q221</f>
        <v>0</v>
      </c>
      <c r="R221" s="14">
        <f>+[1]Consolidation!R221</f>
        <v>0</v>
      </c>
      <c r="S221" s="7">
        <f>+[1]Consolidation!S221</f>
        <v>0</v>
      </c>
      <c r="T221" s="12">
        <f>+[1]Consolidation!T221</f>
        <v>0</v>
      </c>
    </row>
    <row r="222" spans="1:20" ht="19.2" customHeight="1" x14ac:dyDescent="0.3">
      <c r="A222" s="9" t="str">
        <f>+IF([1]Consolidation!A222=0,"",[1]Consolidation!A222)</f>
        <v/>
      </c>
      <c r="B222" s="7">
        <f>+[1]Consolidation!B222</f>
        <v>0</v>
      </c>
      <c r="C222" s="19">
        <f>+[1]Consolidation!C222</f>
        <v>0</v>
      </c>
      <c r="D222" s="20">
        <f>+[1]Consolidation!D222</f>
        <v>0</v>
      </c>
      <c r="E222" s="12">
        <f>+[1]Consolidation!E222</f>
        <v>0</v>
      </c>
      <c r="F222" s="7">
        <f>+[1]Consolidation!F222</f>
        <v>0</v>
      </c>
      <c r="G222" s="7"/>
      <c r="H222" s="7">
        <f>+[1]Consolidation!H222</f>
        <v>0</v>
      </c>
      <c r="I222" s="14">
        <f>+[1]Consolidation!I222</f>
        <v>0</v>
      </c>
      <c r="J222" s="14">
        <f>+[1]Consolidation!J222</f>
        <v>0</v>
      </c>
      <c r="K222" s="14">
        <f>+[1]Consolidation!K222</f>
        <v>0</v>
      </c>
      <c r="L222" s="14">
        <f>+[1]Consolidation!L222</f>
        <v>0</v>
      </c>
      <c r="M222" s="16">
        <f>+[1]Consolidation!M222</f>
        <v>0</v>
      </c>
      <c r="N222" s="14">
        <f>+[1]Consolidation!N222</f>
        <v>0</v>
      </c>
      <c r="O222" s="14">
        <f>+[1]Consolidation!O222</f>
        <v>0</v>
      </c>
      <c r="P222" s="14">
        <f>+[1]Consolidation!P222</f>
        <v>0</v>
      </c>
      <c r="Q222" s="7">
        <f>+[1]Consolidation!Q222</f>
        <v>0</v>
      </c>
      <c r="R222" s="14">
        <f>+[1]Consolidation!R222</f>
        <v>0</v>
      </c>
      <c r="S222" s="7">
        <f>+[1]Consolidation!S222</f>
        <v>0</v>
      </c>
      <c r="T222" s="12">
        <f>+[1]Consolidation!T222</f>
        <v>0</v>
      </c>
    </row>
    <row r="223" spans="1:20" ht="19.2" customHeight="1" x14ac:dyDescent="0.3">
      <c r="A223" s="9" t="str">
        <f>+IF([1]Consolidation!A223=0,"",[1]Consolidation!A223)</f>
        <v/>
      </c>
      <c r="B223" s="7">
        <f>+[1]Consolidation!B223</f>
        <v>0</v>
      </c>
      <c r="C223" s="19">
        <f>+[1]Consolidation!C223</f>
        <v>0</v>
      </c>
      <c r="D223" s="20">
        <f>+[1]Consolidation!D223</f>
        <v>0</v>
      </c>
      <c r="E223" s="12">
        <f>+[1]Consolidation!E223</f>
        <v>0</v>
      </c>
      <c r="F223" s="7">
        <f>+[1]Consolidation!F223</f>
        <v>0</v>
      </c>
      <c r="G223" s="7"/>
      <c r="H223" s="7">
        <f>+[1]Consolidation!H223</f>
        <v>0</v>
      </c>
      <c r="I223" s="14">
        <f>+[1]Consolidation!I223</f>
        <v>0</v>
      </c>
      <c r="J223" s="14">
        <f>+[1]Consolidation!J223</f>
        <v>0</v>
      </c>
      <c r="K223" s="14">
        <f>+[1]Consolidation!K223</f>
        <v>0</v>
      </c>
      <c r="L223" s="14">
        <f>+[1]Consolidation!L223</f>
        <v>0</v>
      </c>
      <c r="M223" s="16">
        <f>+[1]Consolidation!M223</f>
        <v>0</v>
      </c>
      <c r="N223" s="14">
        <f>+[1]Consolidation!N223</f>
        <v>0</v>
      </c>
      <c r="O223" s="14">
        <f>+[1]Consolidation!O223</f>
        <v>0</v>
      </c>
      <c r="P223" s="14">
        <f>+[1]Consolidation!P223</f>
        <v>0</v>
      </c>
      <c r="Q223" s="7">
        <f>+[1]Consolidation!Q223</f>
        <v>0</v>
      </c>
      <c r="R223" s="14">
        <f>+[1]Consolidation!R223</f>
        <v>0</v>
      </c>
      <c r="S223" s="7">
        <f>+[1]Consolidation!S223</f>
        <v>0</v>
      </c>
      <c r="T223" s="12">
        <f>+[1]Consolidation!T223</f>
        <v>0</v>
      </c>
    </row>
    <row r="224" spans="1:20" ht="19.2" customHeight="1" x14ac:dyDescent="0.3">
      <c r="A224" s="9" t="str">
        <f>+IF([1]Consolidation!A224=0,"",[1]Consolidation!A224)</f>
        <v/>
      </c>
      <c r="B224" s="7">
        <f>+[1]Consolidation!B224</f>
        <v>0</v>
      </c>
      <c r="C224" s="19">
        <f>+[1]Consolidation!C224</f>
        <v>0</v>
      </c>
      <c r="D224" s="20">
        <f>+[1]Consolidation!D224</f>
        <v>0</v>
      </c>
      <c r="E224" s="12">
        <f>+[1]Consolidation!E224</f>
        <v>0</v>
      </c>
      <c r="F224" s="7">
        <f>+[1]Consolidation!F224</f>
        <v>0</v>
      </c>
      <c r="G224" s="7"/>
      <c r="H224" s="7">
        <f>+[1]Consolidation!H224</f>
        <v>0</v>
      </c>
      <c r="I224" s="14">
        <f>+[1]Consolidation!I224</f>
        <v>0</v>
      </c>
      <c r="J224" s="14">
        <f>+[1]Consolidation!J224</f>
        <v>0</v>
      </c>
      <c r="K224" s="14">
        <f>+[1]Consolidation!K224</f>
        <v>0</v>
      </c>
      <c r="L224" s="14">
        <f>+[1]Consolidation!L224</f>
        <v>0</v>
      </c>
      <c r="M224" s="16">
        <f>+[1]Consolidation!M224</f>
        <v>0</v>
      </c>
      <c r="N224" s="14">
        <f>+[1]Consolidation!N224</f>
        <v>0</v>
      </c>
      <c r="O224" s="14">
        <f>+[1]Consolidation!O224</f>
        <v>0</v>
      </c>
      <c r="P224" s="14">
        <f>+[1]Consolidation!P224</f>
        <v>0</v>
      </c>
      <c r="Q224" s="7">
        <f>+[1]Consolidation!Q224</f>
        <v>0</v>
      </c>
      <c r="R224" s="14">
        <f>+[1]Consolidation!R224</f>
        <v>0</v>
      </c>
      <c r="S224" s="7">
        <f>+[1]Consolidation!S224</f>
        <v>0</v>
      </c>
      <c r="T224" s="12">
        <f>+[1]Consolidation!T224</f>
        <v>0</v>
      </c>
    </row>
    <row r="225" spans="1:20" ht="19.2" customHeight="1" x14ac:dyDescent="0.3">
      <c r="A225" s="9" t="str">
        <f>+IF([1]Consolidation!A225=0,"",[1]Consolidation!A225)</f>
        <v/>
      </c>
      <c r="B225" s="7">
        <f>+[1]Consolidation!B225</f>
        <v>0</v>
      </c>
      <c r="C225" s="19">
        <f>+[1]Consolidation!C225</f>
        <v>0</v>
      </c>
      <c r="D225" s="20">
        <f>+[1]Consolidation!D225</f>
        <v>0</v>
      </c>
      <c r="E225" s="12">
        <f>+[1]Consolidation!E225</f>
        <v>0</v>
      </c>
      <c r="F225" s="7">
        <f>+[1]Consolidation!F225</f>
        <v>0</v>
      </c>
      <c r="G225" s="7"/>
      <c r="H225" s="7">
        <f>+[1]Consolidation!H225</f>
        <v>0</v>
      </c>
      <c r="I225" s="14">
        <f>+[1]Consolidation!I225</f>
        <v>0</v>
      </c>
      <c r="J225" s="14">
        <f>+[1]Consolidation!J225</f>
        <v>0</v>
      </c>
      <c r="K225" s="14">
        <f>+[1]Consolidation!K225</f>
        <v>0</v>
      </c>
      <c r="L225" s="14">
        <f>+[1]Consolidation!L225</f>
        <v>0</v>
      </c>
      <c r="M225" s="16">
        <f>+[1]Consolidation!M225</f>
        <v>0</v>
      </c>
      <c r="N225" s="14">
        <f>+[1]Consolidation!N225</f>
        <v>0</v>
      </c>
      <c r="O225" s="14">
        <f>+[1]Consolidation!O225</f>
        <v>0</v>
      </c>
      <c r="P225" s="14">
        <f>+[1]Consolidation!P225</f>
        <v>0</v>
      </c>
      <c r="Q225" s="7">
        <f>+[1]Consolidation!Q225</f>
        <v>0</v>
      </c>
      <c r="R225" s="14">
        <f>+[1]Consolidation!R225</f>
        <v>0</v>
      </c>
      <c r="S225" s="7">
        <f>+[1]Consolidation!S225</f>
        <v>0</v>
      </c>
      <c r="T225" s="12">
        <f>+[1]Consolidation!T225</f>
        <v>0</v>
      </c>
    </row>
    <row r="226" spans="1:20" ht="19.2" customHeight="1" x14ac:dyDescent="0.3">
      <c r="A226" s="9" t="str">
        <f>+IF([1]Consolidation!A226=0,"",[1]Consolidation!A226)</f>
        <v/>
      </c>
      <c r="B226" s="7">
        <f>+[1]Consolidation!B226</f>
        <v>0</v>
      </c>
      <c r="C226" s="19">
        <f>+[1]Consolidation!C226</f>
        <v>0</v>
      </c>
      <c r="D226" s="20">
        <f>+[1]Consolidation!D226</f>
        <v>0</v>
      </c>
      <c r="E226" s="12">
        <f>+[1]Consolidation!E226</f>
        <v>0</v>
      </c>
      <c r="F226" s="7">
        <f>+[1]Consolidation!F226</f>
        <v>0</v>
      </c>
      <c r="G226" s="7"/>
      <c r="H226" s="7">
        <f>+[1]Consolidation!H226</f>
        <v>0</v>
      </c>
      <c r="I226" s="14">
        <f>+[1]Consolidation!I226</f>
        <v>0</v>
      </c>
      <c r="J226" s="14">
        <f>+[1]Consolidation!J226</f>
        <v>0</v>
      </c>
      <c r="K226" s="14">
        <f>+[1]Consolidation!K226</f>
        <v>0</v>
      </c>
      <c r="L226" s="14">
        <f>+[1]Consolidation!L226</f>
        <v>0</v>
      </c>
      <c r="M226" s="16">
        <f>+[1]Consolidation!M226</f>
        <v>0</v>
      </c>
      <c r="N226" s="14">
        <f>+[1]Consolidation!N226</f>
        <v>0</v>
      </c>
      <c r="O226" s="14">
        <f>+[1]Consolidation!O226</f>
        <v>0</v>
      </c>
      <c r="P226" s="14">
        <f>+[1]Consolidation!P226</f>
        <v>0</v>
      </c>
      <c r="Q226" s="7">
        <f>+[1]Consolidation!Q226</f>
        <v>0</v>
      </c>
      <c r="R226" s="14">
        <f>+[1]Consolidation!R226</f>
        <v>0</v>
      </c>
      <c r="S226" s="7">
        <f>+[1]Consolidation!S226</f>
        <v>0</v>
      </c>
      <c r="T226" s="12">
        <f>+[1]Consolidation!T226</f>
        <v>0</v>
      </c>
    </row>
    <row r="227" spans="1:20" ht="19.2" customHeight="1" x14ac:dyDescent="0.3">
      <c r="A227" s="9" t="str">
        <f>+IF([1]Consolidation!A227=0,"",[1]Consolidation!A227)</f>
        <v/>
      </c>
      <c r="B227" s="7">
        <f>+[1]Consolidation!B227</f>
        <v>0</v>
      </c>
      <c r="C227" s="19">
        <f>+[1]Consolidation!C227</f>
        <v>0</v>
      </c>
      <c r="D227" s="20">
        <f>+[1]Consolidation!D227</f>
        <v>0</v>
      </c>
      <c r="E227" s="12">
        <f>+[1]Consolidation!E227</f>
        <v>0</v>
      </c>
      <c r="F227" s="7">
        <f>+[1]Consolidation!F227</f>
        <v>0</v>
      </c>
      <c r="G227" s="7"/>
      <c r="H227" s="7">
        <f>+[1]Consolidation!H227</f>
        <v>0</v>
      </c>
      <c r="I227" s="14">
        <f>+[1]Consolidation!I227</f>
        <v>0</v>
      </c>
      <c r="J227" s="14">
        <f>+[1]Consolidation!J227</f>
        <v>0</v>
      </c>
      <c r="K227" s="14">
        <f>+[1]Consolidation!K227</f>
        <v>0</v>
      </c>
      <c r="L227" s="14">
        <f>+[1]Consolidation!L227</f>
        <v>0</v>
      </c>
      <c r="M227" s="16">
        <f>+[1]Consolidation!M227</f>
        <v>0</v>
      </c>
      <c r="N227" s="14">
        <f>+[1]Consolidation!N227</f>
        <v>0</v>
      </c>
      <c r="O227" s="14">
        <f>+[1]Consolidation!O227</f>
        <v>0</v>
      </c>
      <c r="P227" s="14">
        <f>+[1]Consolidation!P227</f>
        <v>0</v>
      </c>
      <c r="Q227" s="7">
        <f>+[1]Consolidation!Q227</f>
        <v>0</v>
      </c>
      <c r="R227" s="14">
        <f>+[1]Consolidation!R227</f>
        <v>0</v>
      </c>
      <c r="S227" s="7">
        <f>+[1]Consolidation!S227</f>
        <v>0</v>
      </c>
      <c r="T227" s="12">
        <f>+[1]Consolidation!T227</f>
        <v>0</v>
      </c>
    </row>
    <row r="228" spans="1:20" ht="19.2" customHeight="1" x14ac:dyDescent="0.3">
      <c r="A228" s="9" t="str">
        <f>+IF([1]Consolidation!A228=0,"",[1]Consolidation!A228)</f>
        <v/>
      </c>
      <c r="B228" s="7">
        <f>+[1]Consolidation!B228</f>
        <v>0</v>
      </c>
      <c r="C228" s="19">
        <f>+[1]Consolidation!C228</f>
        <v>0</v>
      </c>
      <c r="D228" s="20">
        <f>+[1]Consolidation!D228</f>
        <v>0</v>
      </c>
      <c r="E228" s="12">
        <f>+[1]Consolidation!E228</f>
        <v>0</v>
      </c>
      <c r="F228" s="7">
        <f>+[1]Consolidation!F228</f>
        <v>0</v>
      </c>
      <c r="G228" s="7"/>
      <c r="H228" s="7">
        <f>+[1]Consolidation!H228</f>
        <v>0</v>
      </c>
      <c r="I228" s="14">
        <f>+[1]Consolidation!I228</f>
        <v>0</v>
      </c>
      <c r="J228" s="14">
        <f>+[1]Consolidation!J228</f>
        <v>0</v>
      </c>
      <c r="K228" s="14">
        <f>+[1]Consolidation!K228</f>
        <v>0</v>
      </c>
      <c r="L228" s="14">
        <f>+[1]Consolidation!L228</f>
        <v>0</v>
      </c>
      <c r="M228" s="16">
        <f>+[1]Consolidation!M228</f>
        <v>0</v>
      </c>
      <c r="N228" s="14">
        <f>+[1]Consolidation!N228</f>
        <v>0</v>
      </c>
      <c r="O228" s="14">
        <f>+[1]Consolidation!O228</f>
        <v>0</v>
      </c>
      <c r="P228" s="14">
        <f>+[1]Consolidation!P228</f>
        <v>0</v>
      </c>
      <c r="Q228" s="7">
        <f>+[1]Consolidation!Q228</f>
        <v>0</v>
      </c>
      <c r="R228" s="14">
        <f>+[1]Consolidation!R228</f>
        <v>0</v>
      </c>
      <c r="S228" s="7">
        <f>+[1]Consolidation!S228</f>
        <v>0</v>
      </c>
      <c r="T228" s="12">
        <f>+[1]Consolidation!T228</f>
        <v>0</v>
      </c>
    </row>
    <row r="229" spans="1:20" ht="19.2" customHeight="1" x14ac:dyDescent="0.3">
      <c r="A229" s="9" t="str">
        <f>+IF([1]Consolidation!A229=0,"",[1]Consolidation!A229)</f>
        <v/>
      </c>
      <c r="B229" s="7">
        <f>+[1]Consolidation!B229</f>
        <v>0</v>
      </c>
      <c r="C229" s="19">
        <f>+[1]Consolidation!C229</f>
        <v>0</v>
      </c>
      <c r="D229" s="20">
        <f>+[1]Consolidation!D229</f>
        <v>0</v>
      </c>
      <c r="E229" s="12">
        <f>+[1]Consolidation!E229</f>
        <v>0</v>
      </c>
      <c r="F229" s="7">
        <f>+[1]Consolidation!F229</f>
        <v>0</v>
      </c>
      <c r="G229" s="7"/>
      <c r="H229" s="7">
        <f>+[1]Consolidation!H229</f>
        <v>0</v>
      </c>
      <c r="I229" s="14">
        <f>+[1]Consolidation!I229</f>
        <v>0</v>
      </c>
      <c r="J229" s="14">
        <f>+[1]Consolidation!J229</f>
        <v>0</v>
      </c>
      <c r="K229" s="14">
        <f>+[1]Consolidation!K229</f>
        <v>0</v>
      </c>
      <c r="L229" s="14">
        <f>+[1]Consolidation!L229</f>
        <v>0</v>
      </c>
      <c r="M229" s="16">
        <f>+[1]Consolidation!M229</f>
        <v>0</v>
      </c>
      <c r="N229" s="14">
        <f>+[1]Consolidation!N229</f>
        <v>0</v>
      </c>
      <c r="O229" s="14">
        <f>+[1]Consolidation!O229</f>
        <v>0</v>
      </c>
      <c r="P229" s="14">
        <f>+[1]Consolidation!P229</f>
        <v>0</v>
      </c>
      <c r="Q229" s="7">
        <f>+[1]Consolidation!Q229</f>
        <v>0</v>
      </c>
      <c r="R229" s="14">
        <f>+[1]Consolidation!R229</f>
        <v>0</v>
      </c>
      <c r="S229" s="7">
        <f>+[1]Consolidation!S229</f>
        <v>0</v>
      </c>
      <c r="T229" s="12">
        <f>+[1]Consolidation!T229</f>
        <v>0</v>
      </c>
    </row>
    <row r="230" spans="1:20" ht="19.2" customHeight="1" x14ac:dyDescent="0.3">
      <c r="A230" s="9" t="str">
        <f>+IF([1]Consolidation!A230=0,"",[1]Consolidation!A230)</f>
        <v/>
      </c>
      <c r="B230" s="7">
        <f>+[1]Consolidation!B230</f>
        <v>0</v>
      </c>
      <c r="C230" s="19">
        <f>+[1]Consolidation!C230</f>
        <v>0</v>
      </c>
      <c r="D230" s="20">
        <f>+[1]Consolidation!D230</f>
        <v>0</v>
      </c>
      <c r="E230" s="12">
        <f>+[1]Consolidation!E230</f>
        <v>0</v>
      </c>
      <c r="F230" s="7">
        <f>+[1]Consolidation!F230</f>
        <v>0</v>
      </c>
      <c r="G230" s="7"/>
      <c r="H230" s="7">
        <f>+[1]Consolidation!H230</f>
        <v>0</v>
      </c>
      <c r="I230" s="14">
        <f>+[1]Consolidation!I230</f>
        <v>0</v>
      </c>
      <c r="J230" s="14">
        <f>+[1]Consolidation!J230</f>
        <v>0</v>
      </c>
      <c r="K230" s="14">
        <f>+[1]Consolidation!K230</f>
        <v>0</v>
      </c>
      <c r="L230" s="14">
        <f>+[1]Consolidation!L230</f>
        <v>0</v>
      </c>
      <c r="M230" s="16">
        <f>+[1]Consolidation!M230</f>
        <v>0</v>
      </c>
      <c r="N230" s="14">
        <f>+[1]Consolidation!N230</f>
        <v>0</v>
      </c>
      <c r="O230" s="14">
        <f>+[1]Consolidation!O230</f>
        <v>0</v>
      </c>
      <c r="P230" s="14">
        <f>+[1]Consolidation!P230</f>
        <v>0</v>
      </c>
      <c r="Q230" s="7">
        <f>+[1]Consolidation!Q230</f>
        <v>0</v>
      </c>
      <c r="R230" s="14">
        <f>+[1]Consolidation!R230</f>
        <v>0</v>
      </c>
      <c r="S230" s="7">
        <f>+[1]Consolidation!S230</f>
        <v>0</v>
      </c>
      <c r="T230" s="12">
        <f>+[1]Consolidation!T230</f>
        <v>0</v>
      </c>
    </row>
    <row r="231" spans="1:20" ht="19.2" customHeight="1" x14ac:dyDescent="0.3">
      <c r="A231" s="9" t="str">
        <f>+IF([1]Consolidation!A231=0,"",[1]Consolidation!A231)</f>
        <v/>
      </c>
      <c r="B231" s="7">
        <f>+[1]Consolidation!B231</f>
        <v>0</v>
      </c>
      <c r="C231" s="19">
        <f>+[1]Consolidation!C231</f>
        <v>0</v>
      </c>
      <c r="D231" s="20">
        <f>+[1]Consolidation!D231</f>
        <v>0</v>
      </c>
      <c r="E231" s="12">
        <f>+[1]Consolidation!E231</f>
        <v>0</v>
      </c>
      <c r="F231" s="7">
        <f>+[1]Consolidation!F231</f>
        <v>0</v>
      </c>
      <c r="G231" s="7"/>
      <c r="H231" s="7">
        <f>+[1]Consolidation!H231</f>
        <v>0</v>
      </c>
      <c r="I231" s="14">
        <f>+[1]Consolidation!I231</f>
        <v>0</v>
      </c>
      <c r="J231" s="14">
        <f>+[1]Consolidation!J231</f>
        <v>0</v>
      </c>
      <c r="K231" s="14">
        <f>+[1]Consolidation!K231</f>
        <v>0</v>
      </c>
      <c r="L231" s="14">
        <f>+[1]Consolidation!L231</f>
        <v>0</v>
      </c>
      <c r="M231" s="16">
        <f>+[1]Consolidation!M231</f>
        <v>0</v>
      </c>
      <c r="N231" s="14">
        <f>+[1]Consolidation!N231</f>
        <v>0</v>
      </c>
      <c r="O231" s="14">
        <f>+[1]Consolidation!O231</f>
        <v>0</v>
      </c>
      <c r="P231" s="14">
        <f>+[1]Consolidation!P231</f>
        <v>0</v>
      </c>
      <c r="Q231" s="7">
        <f>+[1]Consolidation!Q231</f>
        <v>0</v>
      </c>
      <c r="R231" s="14">
        <f>+[1]Consolidation!R231</f>
        <v>0</v>
      </c>
      <c r="S231" s="7">
        <f>+[1]Consolidation!S231</f>
        <v>0</v>
      </c>
      <c r="T231" s="12">
        <f>+[1]Consolidation!T231</f>
        <v>0</v>
      </c>
    </row>
    <row r="232" spans="1:20" ht="19.2" customHeight="1" x14ac:dyDescent="0.3">
      <c r="A232" s="9" t="str">
        <f>+IF([1]Consolidation!A232=0,"",[1]Consolidation!A232)</f>
        <v/>
      </c>
      <c r="B232" s="7">
        <f>+[1]Consolidation!B232</f>
        <v>0</v>
      </c>
      <c r="C232" s="19">
        <f>+[1]Consolidation!C232</f>
        <v>0</v>
      </c>
      <c r="D232" s="20">
        <f>+[1]Consolidation!D232</f>
        <v>0</v>
      </c>
      <c r="E232" s="12">
        <f>+[1]Consolidation!E232</f>
        <v>0</v>
      </c>
      <c r="F232" s="7">
        <f>+[1]Consolidation!F232</f>
        <v>0</v>
      </c>
      <c r="G232" s="7"/>
      <c r="H232" s="7">
        <f>+[1]Consolidation!H232</f>
        <v>0</v>
      </c>
      <c r="I232" s="14">
        <f>+[1]Consolidation!I232</f>
        <v>0</v>
      </c>
      <c r="J232" s="14">
        <f>+[1]Consolidation!J232</f>
        <v>0</v>
      </c>
      <c r="K232" s="14">
        <f>+[1]Consolidation!K232</f>
        <v>0</v>
      </c>
      <c r="L232" s="14">
        <f>+[1]Consolidation!L232</f>
        <v>0</v>
      </c>
      <c r="M232" s="16">
        <f>+[1]Consolidation!M232</f>
        <v>0</v>
      </c>
      <c r="N232" s="14">
        <f>+[1]Consolidation!N232</f>
        <v>0</v>
      </c>
      <c r="O232" s="14">
        <f>+[1]Consolidation!O232</f>
        <v>0</v>
      </c>
      <c r="P232" s="14">
        <f>+[1]Consolidation!P232</f>
        <v>0</v>
      </c>
      <c r="Q232" s="7">
        <f>+[1]Consolidation!Q232</f>
        <v>0</v>
      </c>
      <c r="R232" s="14">
        <f>+[1]Consolidation!R232</f>
        <v>0</v>
      </c>
      <c r="S232" s="7">
        <f>+[1]Consolidation!S232</f>
        <v>0</v>
      </c>
      <c r="T232" s="12">
        <f>+[1]Consolidation!T232</f>
        <v>0</v>
      </c>
    </row>
    <row r="233" spans="1:20" ht="19.2" customHeight="1" x14ac:dyDescent="0.3">
      <c r="A233" s="9" t="str">
        <f>+IF([1]Consolidation!A233=0,"",[1]Consolidation!A233)</f>
        <v/>
      </c>
      <c r="B233" s="7">
        <f>+[1]Consolidation!B233</f>
        <v>0</v>
      </c>
      <c r="C233" s="19">
        <f>+[1]Consolidation!C233</f>
        <v>0</v>
      </c>
      <c r="D233" s="20">
        <f>+[1]Consolidation!D233</f>
        <v>0</v>
      </c>
      <c r="E233" s="12">
        <f>+[1]Consolidation!E233</f>
        <v>0</v>
      </c>
      <c r="F233" s="7">
        <f>+[1]Consolidation!F233</f>
        <v>0</v>
      </c>
      <c r="G233" s="7"/>
      <c r="H233" s="7">
        <f>+[1]Consolidation!H233</f>
        <v>0</v>
      </c>
      <c r="I233" s="14">
        <f>+[1]Consolidation!I233</f>
        <v>0</v>
      </c>
      <c r="J233" s="14">
        <f>+[1]Consolidation!J233</f>
        <v>0</v>
      </c>
      <c r="K233" s="14">
        <f>+[1]Consolidation!K233</f>
        <v>0</v>
      </c>
      <c r="L233" s="14">
        <f>+[1]Consolidation!L233</f>
        <v>0</v>
      </c>
      <c r="M233" s="16">
        <f>+[1]Consolidation!M233</f>
        <v>0</v>
      </c>
      <c r="N233" s="14">
        <f>+[1]Consolidation!N233</f>
        <v>0</v>
      </c>
      <c r="O233" s="14">
        <f>+[1]Consolidation!O233</f>
        <v>0</v>
      </c>
      <c r="P233" s="14">
        <f>+[1]Consolidation!P233</f>
        <v>0</v>
      </c>
      <c r="Q233" s="7">
        <f>+[1]Consolidation!Q233</f>
        <v>0</v>
      </c>
      <c r="R233" s="14">
        <f>+[1]Consolidation!R233</f>
        <v>0</v>
      </c>
      <c r="S233" s="7">
        <f>+[1]Consolidation!S233</f>
        <v>0</v>
      </c>
      <c r="T233" s="12">
        <f>+[1]Consolidation!T233</f>
        <v>0</v>
      </c>
    </row>
    <row r="234" spans="1:20" ht="19.2" customHeight="1" x14ac:dyDescent="0.3">
      <c r="A234" s="9" t="str">
        <f>+IF([1]Consolidation!A234=0,"",[1]Consolidation!A234)</f>
        <v/>
      </c>
      <c r="B234" s="7">
        <f>+[1]Consolidation!B234</f>
        <v>0</v>
      </c>
      <c r="C234" s="19">
        <f>+[1]Consolidation!C234</f>
        <v>0</v>
      </c>
      <c r="D234" s="20">
        <f>+[1]Consolidation!D234</f>
        <v>0</v>
      </c>
      <c r="E234" s="12">
        <f>+[1]Consolidation!E234</f>
        <v>0</v>
      </c>
      <c r="F234" s="7">
        <f>+[1]Consolidation!F234</f>
        <v>0</v>
      </c>
      <c r="G234" s="7"/>
      <c r="H234" s="7">
        <f>+[1]Consolidation!H234</f>
        <v>0</v>
      </c>
      <c r="I234" s="14">
        <f>+[1]Consolidation!I234</f>
        <v>0</v>
      </c>
      <c r="J234" s="14">
        <f>+[1]Consolidation!J234</f>
        <v>0</v>
      </c>
      <c r="K234" s="14">
        <f>+[1]Consolidation!K234</f>
        <v>0</v>
      </c>
      <c r="L234" s="14">
        <f>+[1]Consolidation!L234</f>
        <v>0</v>
      </c>
      <c r="M234" s="16">
        <f>+[1]Consolidation!M234</f>
        <v>0</v>
      </c>
      <c r="N234" s="14">
        <f>+[1]Consolidation!N234</f>
        <v>0</v>
      </c>
      <c r="O234" s="14">
        <f>+[1]Consolidation!O234</f>
        <v>0</v>
      </c>
      <c r="P234" s="14">
        <f>+[1]Consolidation!P234</f>
        <v>0</v>
      </c>
      <c r="Q234" s="7">
        <f>+[1]Consolidation!Q234</f>
        <v>0</v>
      </c>
      <c r="R234" s="14">
        <f>+[1]Consolidation!R234</f>
        <v>0</v>
      </c>
      <c r="S234" s="7">
        <f>+[1]Consolidation!S234</f>
        <v>0</v>
      </c>
      <c r="T234" s="12">
        <f>+[1]Consolidation!T234</f>
        <v>0</v>
      </c>
    </row>
    <row r="235" spans="1:20" ht="19.2" customHeight="1" x14ac:dyDescent="0.3">
      <c r="A235" s="9" t="str">
        <f>+IF([1]Consolidation!A235=0,"",[1]Consolidation!A235)</f>
        <v/>
      </c>
      <c r="B235" s="7">
        <f>+[1]Consolidation!B235</f>
        <v>0</v>
      </c>
      <c r="C235" s="19">
        <f>+[1]Consolidation!C235</f>
        <v>0</v>
      </c>
      <c r="D235" s="20">
        <f>+[1]Consolidation!D235</f>
        <v>0</v>
      </c>
      <c r="E235" s="12">
        <f>+[1]Consolidation!E235</f>
        <v>0</v>
      </c>
      <c r="F235" s="7">
        <f>+[1]Consolidation!F235</f>
        <v>0</v>
      </c>
      <c r="G235" s="7"/>
      <c r="H235" s="7">
        <f>+[1]Consolidation!H235</f>
        <v>0</v>
      </c>
      <c r="I235" s="14">
        <f>+[1]Consolidation!I235</f>
        <v>0</v>
      </c>
      <c r="J235" s="14">
        <f>+[1]Consolidation!J235</f>
        <v>0</v>
      </c>
      <c r="K235" s="14">
        <f>+[1]Consolidation!K235</f>
        <v>0</v>
      </c>
      <c r="L235" s="14">
        <f>+[1]Consolidation!L235</f>
        <v>0</v>
      </c>
      <c r="M235" s="16">
        <f>+[1]Consolidation!M235</f>
        <v>0</v>
      </c>
      <c r="N235" s="14">
        <f>+[1]Consolidation!N235</f>
        <v>0</v>
      </c>
      <c r="O235" s="14">
        <f>+[1]Consolidation!O235</f>
        <v>0</v>
      </c>
      <c r="P235" s="14">
        <f>+[1]Consolidation!P235</f>
        <v>0</v>
      </c>
      <c r="Q235" s="7">
        <f>+[1]Consolidation!Q235</f>
        <v>0</v>
      </c>
      <c r="R235" s="14">
        <f>+[1]Consolidation!R235</f>
        <v>0</v>
      </c>
      <c r="S235" s="7">
        <f>+[1]Consolidation!S235</f>
        <v>0</v>
      </c>
      <c r="T235" s="12">
        <f>+[1]Consolidation!T235</f>
        <v>0</v>
      </c>
    </row>
    <row r="236" spans="1:20" ht="19.2" customHeight="1" x14ac:dyDescent="0.3">
      <c r="A236" s="9" t="str">
        <f>+IF([1]Consolidation!A236=0,"",[1]Consolidation!A236)</f>
        <v/>
      </c>
      <c r="B236" s="7">
        <f>+[1]Consolidation!B236</f>
        <v>0</v>
      </c>
      <c r="C236" s="19">
        <f>+[1]Consolidation!C236</f>
        <v>0</v>
      </c>
      <c r="D236" s="20">
        <f>+[1]Consolidation!D236</f>
        <v>0</v>
      </c>
      <c r="E236" s="12">
        <f>+[1]Consolidation!E236</f>
        <v>0</v>
      </c>
      <c r="F236" s="7">
        <f>+[1]Consolidation!F236</f>
        <v>0</v>
      </c>
      <c r="G236" s="7"/>
      <c r="H236" s="7">
        <f>+[1]Consolidation!H236</f>
        <v>0</v>
      </c>
      <c r="I236" s="14">
        <f>+[1]Consolidation!I236</f>
        <v>0</v>
      </c>
      <c r="J236" s="14">
        <f>+[1]Consolidation!J236</f>
        <v>0</v>
      </c>
      <c r="K236" s="14">
        <f>+[1]Consolidation!K236</f>
        <v>0</v>
      </c>
      <c r="L236" s="14">
        <f>+[1]Consolidation!L236</f>
        <v>0</v>
      </c>
      <c r="M236" s="16">
        <f>+[1]Consolidation!M236</f>
        <v>0</v>
      </c>
      <c r="N236" s="14">
        <f>+[1]Consolidation!N236</f>
        <v>0</v>
      </c>
      <c r="O236" s="14">
        <f>+[1]Consolidation!O236</f>
        <v>0</v>
      </c>
      <c r="P236" s="14">
        <f>+[1]Consolidation!P236</f>
        <v>0</v>
      </c>
      <c r="Q236" s="7">
        <f>+[1]Consolidation!Q236</f>
        <v>0</v>
      </c>
      <c r="R236" s="14">
        <f>+[1]Consolidation!R236</f>
        <v>0</v>
      </c>
      <c r="S236" s="7">
        <f>+[1]Consolidation!S236</f>
        <v>0</v>
      </c>
      <c r="T236" s="12">
        <f>+[1]Consolidation!T236</f>
        <v>0</v>
      </c>
    </row>
    <row r="237" spans="1:20" ht="19.2" customHeight="1" x14ac:dyDescent="0.3">
      <c r="A237" s="9" t="str">
        <f>+IF([1]Consolidation!A237=0,"",[1]Consolidation!A237)</f>
        <v/>
      </c>
      <c r="B237" s="7">
        <f>+[1]Consolidation!B237</f>
        <v>0</v>
      </c>
      <c r="C237" s="19">
        <f>+[1]Consolidation!C237</f>
        <v>0</v>
      </c>
      <c r="D237" s="20">
        <f>+[1]Consolidation!D237</f>
        <v>0</v>
      </c>
      <c r="E237" s="12">
        <f>+[1]Consolidation!E237</f>
        <v>0</v>
      </c>
      <c r="F237" s="7">
        <f>+[1]Consolidation!F237</f>
        <v>0</v>
      </c>
      <c r="G237" s="7"/>
      <c r="H237" s="7">
        <f>+[1]Consolidation!H237</f>
        <v>0</v>
      </c>
      <c r="I237" s="14">
        <f>+[1]Consolidation!I237</f>
        <v>0</v>
      </c>
      <c r="J237" s="14">
        <f>+[1]Consolidation!J237</f>
        <v>0</v>
      </c>
      <c r="K237" s="14">
        <f>+[1]Consolidation!K237</f>
        <v>0</v>
      </c>
      <c r="L237" s="14">
        <f>+[1]Consolidation!L237</f>
        <v>0</v>
      </c>
      <c r="M237" s="16">
        <f>+[1]Consolidation!M237</f>
        <v>0</v>
      </c>
      <c r="N237" s="14">
        <f>+[1]Consolidation!N237</f>
        <v>0</v>
      </c>
      <c r="O237" s="14">
        <f>+[1]Consolidation!O237</f>
        <v>0</v>
      </c>
      <c r="P237" s="14">
        <f>+[1]Consolidation!P237</f>
        <v>0</v>
      </c>
      <c r="Q237" s="7">
        <f>+[1]Consolidation!Q237</f>
        <v>0</v>
      </c>
      <c r="R237" s="14">
        <f>+[1]Consolidation!R237</f>
        <v>0</v>
      </c>
      <c r="S237" s="7">
        <f>+[1]Consolidation!S237</f>
        <v>0</v>
      </c>
      <c r="T237" s="12">
        <f>+[1]Consolidation!T237</f>
        <v>0</v>
      </c>
    </row>
    <row r="238" spans="1:20" ht="19.2" customHeight="1" x14ac:dyDescent="0.3">
      <c r="A238" s="9" t="str">
        <f>+IF([1]Consolidation!A238=0,"",[1]Consolidation!A238)</f>
        <v/>
      </c>
      <c r="B238" s="7">
        <f>+[1]Consolidation!B238</f>
        <v>0</v>
      </c>
      <c r="C238" s="19">
        <f>+[1]Consolidation!C238</f>
        <v>0</v>
      </c>
      <c r="D238" s="20">
        <f>+[1]Consolidation!D238</f>
        <v>0</v>
      </c>
      <c r="E238" s="12">
        <f>+[1]Consolidation!E238</f>
        <v>0</v>
      </c>
      <c r="F238" s="7">
        <f>+[1]Consolidation!F238</f>
        <v>0</v>
      </c>
      <c r="G238" s="7"/>
      <c r="H238" s="7">
        <f>+[1]Consolidation!H238</f>
        <v>0</v>
      </c>
      <c r="I238" s="14">
        <f>+[1]Consolidation!I238</f>
        <v>0</v>
      </c>
      <c r="J238" s="14">
        <f>+[1]Consolidation!J238</f>
        <v>0</v>
      </c>
      <c r="K238" s="14">
        <f>+[1]Consolidation!K238</f>
        <v>0</v>
      </c>
      <c r="L238" s="14">
        <f>+[1]Consolidation!L238</f>
        <v>0</v>
      </c>
      <c r="M238" s="16">
        <f>+[1]Consolidation!M238</f>
        <v>0</v>
      </c>
      <c r="N238" s="14">
        <f>+[1]Consolidation!N238</f>
        <v>0</v>
      </c>
      <c r="O238" s="14">
        <f>+[1]Consolidation!O238</f>
        <v>0</v>
      </c>
      <c r="P238" s="14">
        <f>+[1]Consolidation!P238</f>
        <v>0</v>
      </c>
      <c r="Q238" s="7">
        <f>+[1]Consolidation!Q238</f>
        <v>0</v>
      </c>
      <c r="R238" s="14">
        <f>+[1]Consolidation!R238</f>
        <v>0</v>
      </c>
      <c r="S238" s="7">
        <f>+[1]Consolidation!S238</f>
        <v>0</v>
      </c>
      <c r="T238" s="12">
        <f>+[1]Consolidation!T238</f>
        <v>0</v>
      </c>
    </row>
    <row r="239" spans="1:20" ht="19.2" customHeight="1" x14ac:dyDescent="0.3">
      <c r="A239" s="9" t="str">
        <f>+IF([1]Consolidation!A239=0,"",[1]Consolidation!A239)</f>
        <v/>
      </c>
      <c r="B239" s="7">
        <f>+[1]Consolidation!B239</f>
        <v>0</v>
      </c>
      <c r="C239" s="19">
        <f>+[1]Consolidation!C239</f>
        <v>0</v>
      </c>
      <c r="D239" s="20">
        <f>+[1]Consolidation!D239</f>
        <v>0</v>
      </c>
      <c r="E239" s="12">
        <f>+[1]Consolidation!E239</f>
        <v>0</v>
      </c>
      <c r="F239" s="7">
        <f>+[1]Consolidation!F239</f>
        <v>0</v>
      </c>
      <c r="G239" s="7"/>
      <c r="H239" s="7">
        <f>+[1]Consolidation!H239</f>
        <v>0</v>
      </c>
      <c r="I239" s="14">
        <f>+[1]Consolidation!I239</f>
        <v>0</v>
      </c>
      <c r="J239" s="14">
        <f>+[1]Consolidation!J239</f>
        <v>0</v>
      </c>
      <c r="K239" s="14">
        <f>+[1]Consolidation!K239</f>
        <v>0</v>
      </c>
      <c r="L239" s="14">
        <f>+[1]Consolidation!L239</f>
        <v>0</v>
      </c>
      <c r="M239" s="16">
        <f>+[1]Consolidation!M239</f>
        <v>0</v>
      </c>
      <c r="N239" s="14">
        <f>+[1]Consolidation!N239</f>
        <v>0</v>
      </c>
      <c r="O239" s="14">
        <f>+[1]Consolidation!O239</f>
        <v>0</v>
      </c>
      <c r="P239" s="14">
        <f>+[1]Consolidation!P239</f>
        <v>0</v>
      </c>
      <c r="Q239" s="7">
        <f>+[1]Consolidation!Q239</f>
        <v>0</v>
      </c>
      <c r="R239" s="14">
        <f>+[1]Consolidation!R239</f>
        <v>0</v>
      </c>
      <c r="S239" s="7">
        <f>+[1]Consolidation!S239</f>
        <v>0</v>
      </c>
      <c r="T239" s="12">
        <f>+[1]Consolidation!T239</f>
        <v>0</v>
      </c>
    </row>
    <row r="240" spans="1:20" ht="19.2" customHeight="1" x14ac:dyDescent="0.3">
      <c r="A240" s="9" t="str">
        <f>+IF([1]Consolidation!A240=0,"",[1]Consolidation!A240)</f>
        <v/>
      </c>
      <c r="B240" s="7">
        <f>+[1]Consolidation!B240</f>
        <v>0</v>
      </c>
      <c r="C240" s="19">
        <f>+[1]Consolidation!C240</f>
        <v>0</v>
      </c>
      <c r="D240" s="20">
        <f>+[1]Consolidation!D240</f>
        <v>0</v>
      </c>
      <c r="E240" s="12">
        <f>+[1]Consolidation!E240</f>
        <v>0</v>
      </c>
      <c r="F240" s="7">
        <f>+[1]Consolidation!F240</f>
        <v>0</v>
      </c>
      <c r="G240" s="7"/>
      <c r="H240" s="7">
        <f>+[1]Consolidation!H240</f>
        <v>0</v>
      </c>
      <c r="I240" s="14">
        <f>+[1]Consolidation!I240</f>
        <v>0</v>
      </c>
      <c r="J240" s="14">
        <f>+[1]Consolidation!J240</f>
        <v>0</v>
      </c>
      <c r="K240" s="14">
        <f>+[1]Consolidation!K240</f>
        <v>0</v>
      </c>
      <c r="L240" s="14">
        <f>+[1]Consolidation!L240</f>
        <v>0</v>
      </c>
      <c r="M240" s="16">
        <f>+[1]Consolidation!M240</f>
        <v>0</v>
      </c>
      <c r="N240" s="14">
        <f>+[1]Consolidation!N240</f>
        <v>0</v>
      </c>
      <c r="O240" s="14">
        <f>+[1]Consolidation!O240</f>
        <v>0</v>
      </c>
      <c r="P240" s="14">
        <f>+[1]Consolidation!P240</f>
        <v>0</v>
      </c>
      <c r="Q240" s="7">
        <f>+[1]Consolidation!Q240</f>
        <v>0</v>
      </c>
      <c r="R240" s="14">
        <f>+[1]Consolidation!R240</f>
        <v>0</v>
      </c>
      <c r="S240" s="7">
        <f>+[1]Consolidation!S240</f>
        <v>0</v>
      </c>
      <c r="T240" s="12">
        <f>+[1]Consolidation!T240</f>
        <v>0</v>
      </c>
    </row>
    <row r="241" spans="1:20" ht="19.2" customHeight="1" x14ac:dyDescent="0.3">
      <c r="A241" s="9" t="str">
        <f>+IF([1]Consolidation!A241=0,"",[1]Consolidation!A241)</f>
        <v/>
      </c>
      <c r="B241" s="7">
        <f>+[1]Consolidation!B241</f>
        <v>0</v>
      </c>
      <c r="C241" s="19">
        <f>+[1]Consolidation!C241</f>
        <v>0</v>
      </c>
      <c r="D241" s="20">
        <f>+[1]Consolidation!D241</f>
        <v>0</v>
      </c>
      <c r="E241" s="12">
        <f>+[1]Consolidation!E241</f>
        <v>0</v>
      </c>
      <c r="F241" s="7">
        <f>+[1]Consolidation!F241</f>
        <v>0</v>
      </c>
      <c r="G241" s="7"/>
      <c r="H241" s="7">
        <f>+[1]Consolidation!H241</f>
        <v>0</v>
      </c>
      <c r="I241" s="14">
        <f>+[1]Consolidation!I241</f>
        <v>0</v>
      </c>
      <c r="J241" s="14">
        <f>+[1]Consolidation!J241</f>
        <v>0</v>
      </c>
      <c r="K241" s="14">
        <f>+[1]Consolidation!K241</f>
        <v>0</v>
      </c>
      <c r="L241" s="14">
        <f>+[1]Consolidation!L241</f>
        <v>0</v>
      </c>
      <c r="M241" s="16">
        <f>+[1]Consolidation!M241</f>
        <v>0</v>
      </c>
      <c r="N241" s="14">
        <f>+[1]Consolidation!N241</f>
        <v>0</v>
      </c>
      <c r="O241" s="14">
        <f>+[1]Consolidation!O241</f>
        <v>0</v>
      </c>
      <c r="P241" s="14">
        <f>+[1]Consolidation!P241</f>
        <v>0</v>
      </c>
      <c r="Q241" s="7">
        <f>+[1]Consolidation!Q241</f>
        <v>0</v>
      </c>
      <c r="R241" s="14">
        <f>+[1]Consolidation!R241</f>
        <v>0</v>
      </c>
      <c r="S241" s="7">
        <f>+[1]Consolidation!S241</f>
        <v>0</v>
      </c>
      <c r="T241" s="12">
        <f>+[1]Consolidation!T241</f>
        <v>0</v>
      </c>
    </row>
    <row r="242" spans="1:20" ht="19.2" customHeight="1" x14ac:dyDescent="0.3">
      <c r="A242" s="9" t="str">
        <f>+IF([1]Consolidation!A242=0,"",[1]Consolidation!A242)</f>
        <v/>
      </c>
      <c r="B242" s="7">
        <f>+[1]Consolidation!B242</f>
        <v>0</v>
      </c>
      <c r="C242" s="19">
        <f>+[1]Consolidation!C242</f>
        <v>0</v>
      </c>
      <c r="D242" s="20">
        <f>+[1]Consolidation!D242</f>
        <v>0</v>
      </c>
      <c r="E242" s="12">
        <f>+[1]Consolidation!E242</f>
        <v>0</v>
      </c>
      <c r="F242" s="7">
        <f>+[1]Consolidation!F242</f>
        <v>0</v>
      </c>
      <c r="G242" s="7"/>
      <c r="H242" s="7">
        <f>+[1]Consolidation!H242</f>
        <v>0</v>
      </c>
      <c r="I242" s="14">
        <f>+[1]Consolidation!I242</f>
        <v>0</v>
      </c>
      <c r="J242" s="14">
        <f>+[1]Consolidation!J242</f>
        <v>0</v>
      </c>
      <c r="K242" s="14">
        <f>+[1]Consolidation!K242</f>
        <v>0</v>
      </c>
      <c r="L242" s="14">
        <f>+[1]Consolidation!L242</f>
        <v>0</v>
      </c>
      <c r="M242" s="16">
        <f>+[1]Consolidation!M242</f>
        <v>0</v>
      </c>
      <c r="N242" s="14">
        <f>+[1]Consolidation!N242</f>
        <v>0</v>
      </c>
      <c r="O242" s="14">
        <f>+[1]Consolidation!O242</f>
        <v>0</v>
      </c>
      <c r="P242" s="14">
        <f>+[1]Consolidation!P242</f>
        <v>0</v>
      </c>
      <c r="Q242" s="7">
        <f>+[1]Consolidation!Q242</f>
        <v>0</v>
      </c>
      <c r="R242" s="14">
        <f>+[1]Consolidation!R242</f>
        <v>0</v>
      </c>
      <c r="S242" s="7">
        <f>+[1]Consolidation!S242</f>
        <v>0</v>
      </c>
      <c r="T242" s="12">
        <f>+[1]Consolidation!T242</f>
        <v>0</v>
      </c>
    </row>
    <row r="243" spans="1:20" ht="19.2" customHeight="1" x14ac:dyDescent="0.3">
      <c r="A243" s="9" t="str">
        <f>+IF([1]Consolidation!A243=0,"",[1]Consolidation!A243)</f>
        <v/>
      </c>
      <c r="B243" s="7">
        <f>+[1]Consolidation!B243</f>
        <v>0</v>
      </c>
      <c r="C243" s="19">
        <f>+[1]Consolidation!C243</f>
        <v>0</v>
      </c>
      <c r="D243" s="20">
        <f>+[1]Consolidation!D243</f>
        <v>0</v>
      </c>
      <c r="E243" s="12">
        <f>+[1]Consolidation!E243</f>
        <v>0</v>
      </c>
      <c r="F243" s="7">
        <f>+[1]Consolidation!F243</f>
        <v>0</v>
      </c>
      <c r="G243" s="7"/>
      <c r="H243" s="7">
        <f>+[1]Consolidation!H243</f>
        <v>0</v>
      </c>
      <c r="I243" s="14">
        <f>+[1]Consolidation!I243</f>
        <v>0</v>
      </c>
      <c r="J243" s="14">
        <f>+[1]Consolidation!J243</f>
        <v>0</v>
      </c>
      <c r="K243" s="14">
        <f>+[1]Consolidation!K243</f>
        <v>0</v>
      </c>
      <c r="L243" s="14">
        <f>+[1]Consolidation!L243</f>
        <v>0</v>
      </c>
      <c r="M243" s="16">
        <f>+[1]Consolidation!M243</f>
        <v>0</v>
      </c>
      <c r="N243" s="14">
        <f>+[1]Consolidation!N243</f>
        <v>0</v>
      </c>
      <c r="O243" s="14">
        <f>+[1]Consolidation!O243</f>
        <v>0</v>
      </c>
      <c r="P243" s="14">
        <f>+[1]Consolidation!P243</f>
        <v>0</v>
      </c>
      <c r="Q243" s="7">
        <f>+[1]Consolidation!Q243</f>
        <v>0</v>
      </c>
      <c r="R243" s="14">
        <f>+[1]Consolidation!R243</f>
        <v>0</v>
      </c>
      <c r="S243" s="7">
        <f>+[1]Consolidation!S243</f>
        <v>0</v>
      </c>
      <c r="T243" s="12">
        <f>+[1]Consolidation!T243</f>
        <v>0</v>
      </c>
    </row>
    <row r="244" spans="1:20" ht="19.2" customHeight="1" x14ac:dyDescent="0.3">
      <c r="A244" s="9" t="str">
        <f>+IF([1]Consolidation!A244=0,"",[1]Consolidation!A244)</f>
        <v/>
      </c>
      <c r="B244" s="7">
        <f>+[1]Consolidation!B244</f>
        <v>0</v>
      </c>
      <c r="C244" s="19">
        <f>+[1]Consolidation!C244</f>
        <v>0</v>
      </c>
      <c r="D244" s="20">
        <f>+[1]Consolidation!D244</f>
        <v>0</v>
      </c>
      <c r="E244" s="12">
        <f>+[1]Consolidation!E244</f>
        <v>0</v>
      </c>
      <c r="F244" s="7">
        <f>+[1]Consolidation!F244</f>
        <v>0</v>
      </c>
      <c r="G244" s="7"/>
      <c r="H244" s="7">
        <f>+[1]Consolidation!H244</f>
        <v>0</v>
      </c>
      <c r="I244" s="14">
        <f>+[1]Consolidation!I244</f>
        <v>0</v>
      </c>
      <c r="J244" s="14">
        <f>+[1]Consolidation!J244</f>
        <v>0</v>
      </c>
      <c r="K244" s="14">
        <f>+[1]Consolidation!K244</f>
        <v>0</v>
      </c>
      <c r="L244" s="14">
        <f>+[1]Consolidation!L244</f>
        <v>0</v>
      </c>
      <c r="M244" s="16">
        <f>+[1]Consolidation!M244</f>
        <v>0</v>
      </c>
      <c r="N244" s="14">
        <f>+[1]Consolidation!N244</f>
        <v>0</v>
      </c>
      <c r="O244" s="14">
        <f>+[1]Consolidation!O244</f>
        <v>0</v>
      </c>
      <c r="P244" s="14">
        <f>+[1]Consolidation!P244</f>
        <v>0</v>
      </c>
      <c r="Q244" s="7">
        <f>+[1]Consolidation!Q244</f>
        <v>0</v>
      </c>
      <c r="R244" s="14">
        <f>+[1]Consolidation!R244</f>
        <v>0</v>
      </c>
      <c r="S244" s="7">
        <f>+[1]Consolidation!S244</f>
        <v>0</v>
      </c>
      <c r="T244" s="12">
        <f>+[1]Consolidation!T244</f>
        <v>0</v>
      </c>
    </row>
    <row r="245" spans="1:20" ht="19.2" customHeight="1" x14ac:dyDescent="0.3">
      <c r="A245" s="9" t="str">
        <f>+IF([1]Consolidation!A245=0,"",[1]Consolidation!A245)</f>
        <v/>
      </c>
      <c r="B245" s="7">
        <f>+[1]Consolidation!B245</f>
        <v>0</v>
      </c>
      <c r="C245" s="19">
        <f>+[1]Consolidation!C245</f>
        <v>0</v>
      </c>
      <c r="D245" s="20">
        <f>+[1]Consolidation!D245</f>
        <v>0</v>
      </c>
      <c r="E245" s="12">
        <f>+[1]Consolidation!E245</f>
        <v>0</v>
      </c>
      <c r="F245" s="7">
        <f>+[1]Consolidation!F245</f>
        <v>0</v>
      </c>
      <c r="G245" s="7"/>
      <c r="H245" s="7">
        <f>+[1]Consolidation!H245</f>
        <v>0</v>
      </c>
      <c r="I245" s="14">
        <f>+[1]Consolidation!I245</f>
        <v>0</v>
      </c>
      <c r="J245" s="14">
        <f>+[1]Consolidation!J245</f>
        <v>0</v>
      </c>
      <c r="K245" s="14">
        <f>+[1]Consolidation!K245</f>
        <v>0</v>
      </c>
      <c r="L245" s="14">
        <f>+[1]Consolidation!L245</f>
        <v>0</v>
      </c>
      <c r="M245" s="16">
        <f>+[1]Consolidation!M245</f>
        <v>0</v>
      </c>
      <c r="N245" s="14">
        <f>+[1]Consolidation!N245</f>
        <v>0</v>
      </c>
      <c r="O245" s="14">
        <f>+[1]Consolidation!O245</f>
        <v>0</v>
      </c>
      <c r="P245" s="14">
        <f>+[1]Consolidation!P245</f>
        <v>0</v>
      </c>
      <c r="Q245" s="7">
        <f>+[1]Consolidation!Q245</f>
        <v>0</v>
      </c>
      <c r="R245" s="14">
        <f>+[1]Consolidation!R245</f>
        <v>0</v>
      </c>
      <c r="S245" s="7">
        <f>+[1]Consolidation!S245</f>
        <v>0</v>
      </c>
      <c r="T245" s="12">
        <f>+[1]Consolidation!T245</f>
        <v>0</v>
      </c>
    </row>
    <row r="246" spans="1:20" ht="19.2" customHeight="1" x14ac:dyDescent="0.3">
      <c r="A246" s="9" t="str">
        <f>+IF([1]Consolidation!A246=0,"",[1]Consolidation!A246)</f>
        <v/>
      </c>
      <c r="B246" s="7">
        <f>+[1]Consolidation!B246</f>
        <v>0</v>
      </c>
      <c r="C246" s="19">
        <f>+[1]Consolidation!C246</f>
        <v>0</v>
      </c>
      <c r="D246" s="20">
        <f>+[1]Consolidation!D246</f>
        <v>0</v>
      </c>
      <c r="E246" s="12">
        <f>+[1]Consolidation!E246</f>
        <v>0</v>
      </c>
      <c r="F246" s="7">
        <f>+[1]Consolidation!F246</f>
        <v>0</v>
      </c>
      <c r="G246" s="7"/>
      <c r="H246" s="7">
        <f>+[1]Consolidation!H246</f>
        <v>0</v>
      </c>
      <c r="I246" s="14">
        <f>+[1]Consolidation!I246</f>
        <v>0</v>
      </c>
      <c r="J246" s="14">
        <f>+[1]Consolidation!J246</f>
        <v>0</v>
      </c>
      <c r="K246" s="14">
        <f>+[1]Consolidation!K246</f>
        <v>0</v>
      </c>
      <c r="L246" s="14">
        <f>+[1]Consolidation!L246</f>
        <v>0</v>
      </c>
      <c r="M246" s="16">
        <f>+[1]Consolidation!M246</f>
        <v>0</v>
      </c>
      <c r="N246" s="14">
        <f>+[1]Consolidation!N246</f>
        <v>0</v>
      </c>
      <c r="O246" s="14">
        <f>+[1]Consolidation!O246</f>
        <v>0</v>
      </c>
      <c r="P246" s="14">
        <f>+[1]Consolidation!P246</f>
        <v>0</v>
      </c>
      <c r="Q246" s="7">
        <f>+[1]Consolidation!Q246</f>
        <v>0</v>
      </c>
      <c r="R246" s="14">
        <f>+[1]Consolidation!R246</f>
        <v>0</v>
      </c>
      <c r="S246" s="7">
        <f>+[1]Consolidation!S246</f>
        <v>0</v>
      </c>
      <c r="T246" s="12">
        <f>+[1]Consolidation!T246</f>
        <v>0</v>
      </c>
    </row>
    <row r="247" spans="1:20" ht="19.2" customHeight="1" x14ac:dyDescent="0.3">
      <c r="A247" s="9" t="str">
        <f>+IF([1]Consolidation!A247=0,"",[1]Consolidation!A247)</f>
        <v/>
      </c>
      <c r="B247" s="7">
        <f>+[1]Consolidation!B247</f>
        <v>0</v>
      </c>
      <c r="C247" s="19">
        <f>+[1]Consolidation!C247</f>
        <v>0</v>
      </c>
      <c r="D247" s="20">
        <f>+[1]Consolidation!D247</f>
        <v>0</v>
      </c>
      <c r="E247" s="12">
        <f>+[1]Consolidation!E247</f>
        <v>0</v>
      </c>
      <c r="F247" s="7">
        <f>+[1]Consolidation!F247</f>
        <v>0</v>
      </c>
      <c r="G247" s="7"/>
      <c r="H247" s="7">
        <f>+[1]Consolidation!H247</f>
        <v>0</v>
      </c>
      <c r="I247" s="14">
        <f>+[1]Consolidation!I247</f>
        <v>0</v>
      </c>
      <c r="J247" s="14">
        <f>+[1]Consolidation!J247</f>
        <v>0</v>
      </c>
      <c r="K247" s="14">
        <f>+[1]Consolidation!K247</f>
        <v>0</v>
      </c>
      <c r="L247" s="14">
        <f>+[1]Consolidation!L247</f>
        <v>0</v>
      </c>
      <c r="M247" s="16">
        <f>+[1]Consolidation!M247</f>
        <v>0</v>
      </c>
      <c r="N247" s="14">
        <f>+[1]Consolidation!N247</f>
        <v>0</v>
      </c>
      <c r="O247" s="14">
        <f>+[1]Consolidation!O247</f>
        <v>0</v>
      </c>
      <c r="P247" s="14">
        <f>+[1]Consolidation!P247</f>
        <v>0</v>
      </c>
      <c r="Q247" s="7">
        <f>+[1]Consolidation!Q247</f>
        <v>0</v>
      </c>
      <c r="R247" s="14">
        <f>+[1]Consolidation!R247</f>
        <v>0</v>
      </c>
      <c r="S247" s="7">
        <f>+[1]Consolidation!S247</f>
        <v>0</v>
      </c>
      <c r="T247" s="12">
        <f>+[1]Consolidation!T247</f>
        <v>0</v>
      </c>
    </row>
    <row r="248" spans="1:20" ht="19.2" customHeight="1" x14ac:dyDescent="0.3">
      <c r="A248" s="9" t="str">
        <f>+IF([1]Consolidation!A248=0,"",[1]Consolidation!A248)</f>
        <v/>
      </c>
      <c r="B248" s="7">
        <f>+[1]Consolidation!B248</f>
        <v>0</v>
      </c>
      <c r="C248" s="19">
        <f>+[1]Consolidation!C248</f>
        <v>0</v>
      </c>
      <c r="D248" s="20">
        <f>+[1]Consolidation!D248</f>
        <v>0</v>
      </c>
      <c r="E248" s="12">
        <f>+[1]Consolidation!E248</f>
        <v>0</v>
      </c>
      <c r="F248" s="7">
        <f>+[1]Consolidation!F248</f>
        <v>0</v>
      </c>
      <c r="G248" s="7"/>
      <c r="H248" s="7">
        <f>+[1]Consolidation!H248</f>
        <v>0</v>
      </c>
      <c r="I248" s="14">
        <f>+[1]Consolidation!I248</f>
        <v>0</v>
      </c>
      <c r="J248" s="14">
        <f>+[1]Consolidation!J248</f>
        <v>0</v>
      </c>
      <c r="K248" s="14">
        <f>+[1]Consolidation!K248</f>
        <v>0</v>
      </c>
      <c r="L248" s="14">
        <f>+[1]Consolidation!L248</f>
        <v>0</v>
      </c>
      <c r="M248" s="16">
        <f>+[1]Consolidation!M248</f>
        <v>0</v>
      </c>
      <c r="N248" s="14">
        <f>+[1]Consolidation!N248</f>
        <v>0</v>
      </c>
      <c r="O248" s="14">
        <f>+[1]Consolidation!O248</f>
        <v>0</v>
      </c>
      <c r="P248" s="14">
        <f>+[1]Consolidation!P248</f>
        <v>0</v>
      </c>
      <c r="Q248" s="7">
        <f>+[1]Consolidation!Q248</f>
        <v>0</v>
      </c>
      <c r="R248" s="14">
        <f>+[1]Consolidation!R248</f>
        <v>0</v>
      </c>
      <c r="S248" s="7">
        <f>+[1]Consolidation!S248</f>
        <v>0</v>
      </c>
      <c r="T248" s="12">
        <f>+[1]Consolidation!T248</f>
        <v>0</v>
      </c>
    </row>
    <row r="249" spans="1:20" ht="19.2" customHeight="1" x14ac:dyDescent="0.3">
      <c r="A249" s="9" t="str">
        <f>+IF([1]Consolidation!A249=0,"",[1]Consolidation!A249)</f>
        <v/>
      </c>
      <c r="B249" s="7">
        <f>+[1]Consolidation!B249</f>
        <v>0</v>
      </c>
      <c r="C249" s="19">
        <f>+[1]Consolidation!C249</f>
        <v>0</v>
      </c>
      <c r="D249" s="20">
        <f>+[1]Consolidation!D249</f>
        <v>0</v>
      </c>
      <c r="E249" s="12">
        <f>+[1]Consolidation!E249</f>
        <v>0</v>
      </c>
      <c r="F249" s="7">
        <f>+[1]Consolidation!F249</f>
        <v>0</v>
      </c>
      <c r="G249" s="7"/>
      <c r="H249" s="7">
        <f>+[1]Consolidation!H249</f>
        <v>0</v>
      </c>
      <c r="I249" s="14">
        <f>+[1]Consolidation!I249</f>
        <v>0</v>
      </c>
      <c r="J249" s="14">
        <f>+[1]Consolidation!J249</f>
        <v>0</v>
      </c>
      <c r="K249" s="14">
        <f>+[1]Consolidation!K249</f>
        <v>0</v>
      </c>
      <c r="L249" s="14">
        <f>+[1]Consolidation!L249</f>
        <v>0</v>
      </c>
      <c r="M249" s="16">
        <f>+[1]Consolidation!M249</f>
        <v>0</v>
      </c>
      <c r="N249" s="14">
        <f>+[1]Consolidation!N249</f>
        <v>0</v>
      </c>
      <c r="O249" s="14">
        <f>+[1]Consolidation!O249</f>
        <v>0</v>
      </c>
      <c r="P249" s="14">
        <f>+[1]Consolidation!P249</f>
        <v>0</v>
      </c>
      <c r="Q249" s="7">
        <f>+[1]Consolidation!Q249</f>
        <v>0</v>
      </c>
      <c r="R249" s="14">
        <f>+[1]Consolidation!R249</f>
        <v>0</v>
      </c>
      <c r="S249" s="7">
        <f>+[1]Consolidation!S249</f>
        <v>0</v>
      </c>
      <c r="T249" s="12">
        <f>+[1]Consolidation!T249</f>
        <v>0</v>
      </c>
    </row>
    <row r="250" spans="1:20" ht="19.2" customHeight="1" x14ac:dyDescent="0.3">
      <c r="A250" s="9" t="str">
        <f>+IF([1]Consolidation!A250=0,"",[1]Consolidation!A250)</f>
        <v/>
      </c>
      <c r="B250" s="7">
        <f>+[1]Consolidation!B250</f>
        <v>0</v>
      </c>
      <c r="C250" s="19">
        <f>+[1]Consolidation!C250</f>
        <v>0</v>
      </c>
      <c r="D250" s="20">
        <f>+[1]Consolidation!D250</f>
        <v>0</v>
      </c>
      <c r="E250" s="12">
        <f>+[1]Consolidation!E250</f>
        <v>0</v>
      </c>
      <c r="F250" s="7">
        <f>+[1]Consolidation!F250</f>
        <v>0</v>
      </c>
      <c r="G250" s="7"/>
      <c r="H250" s="7">
        <f>+[1]Consolidation!H250</f>
        <v>0</v>
      </c>
      <c r="I250" s="14">
        <f>+[1]Consolidation!I250</f>
        <v>0</v>
      </c>
      <c r="J250" s="14">
        <f>+[1]Consolidation!J250</f>
        <v>0</v>
      </c>
      <c r="K250" s="14">
        <f>+[1]Consolidation!K250</f>
        <v>0</v>
      </c>
      <c r="L250" s="14">
        <f>+[1]Consolidation!L250</f>
        <v>0</v>
      </c>
      <c r="M250" s="16">
        <f>+[1]Consolidation!M250</f>
        <v>0</v>
      </c>
      <c r="N250" s="14">
        <f>+[1]Consolidation!N250</f>
        <v>0</v>
      </c>
      <c r="O250" s="14">
        <f>+[1]Consolidation!O250</f>
        <v>0</v>
      </c>
      <c r="P250" s="14">
        <f>+[1]Consolidation!P250</f>
        <v>0</v>
      </c>
      <c r="Q250" s="7">
        <f>+[1]Consolidation!Q250</f>
        <v>0</v>
      </c>
      <c r="R250" s="14">
        <f>+[1]Consolidation!R250</f>
        <v>0</v>
      </c>
      <c r="S250" s="7">
        <f>+[1]Consolidation!S250</f>
        <v>0</v>
      </c>
      <c r="T250" s="12">
        <f>+[1]Consolidation!T250</f>
        <v>0</v>
      </c>
    </row>
    <row r="251" spans="1:20" ht="19.2" customHeight="1" x14ac:dyDescent="0.3">
      <c r="A251" s="9" t="str">
        <f>+IF([1]Consolidation!A251=0,"",[1]Consolidation!A251)</f>
        <v/>
      </c>
      <c r="B251" s="7">
        <f>+[1]Consolidation!B251</f>
        <v>0</v>
      </c>
      <c r="C251" s="19">
        <f>+[1]Consolidation!C251</f>
        <v>0</v>
      </c>
      <c r="D251" s="20">
        <f>+[1]Consolidation!D251</f>
        <v>0</v>
      </c>
      <c r="E251" s="12">
        <f>+[1]Consolidation!E251</f>
        <v>0</v>
      </c>
      <c r="F251" s="7">
        <f>+[1]Consolidation!F251</f>
        <v>0</v>
      </c>
      <c r="G251" s="7"/>
      <c r="H251" s="7">
        <f>+[1]Consolidation!H251</f>
        <v>0</v>
      </c>
      <c r="I251" s="14">
        <f>+[1]Consolidation!I251</f>
        <v>0</v>
      </c>
      <c r="J251" s="14">
        <f>+[1]Consolidation!J251</f>
        <v>0</v>
      </c>
      <c r="K251" s="14">
        <f>+[1]Consolidation!K251</f>
        <v>0</v>
      </c>
      <c r="L251" s="14">
        <f>+[1]Consolidation!L251</f>
        <v>0</v>
      </c>
      <c r="M251" s="16">
        <f>+[1]Consolidation!M251</f>
        <v>0</v>
      </c>
      <c r="N251" s="14">
        <f>+[1]Consolidation!N251</f>
        <v>0</v>
      </c>
      <c r="O251" s="14">
        <f>+[1]Consolidation!O251</f>
        <v>0</v>
      </c>
      <c r="P251" s="14">
        <f>+[1]Consolidation!P251</f>
        <v>0</v>
      </c>
      <c r="Q251" s="7">
        <f>+[1]Consolidation!Q251</f>
        <v>0</v>
      </c>
      <c r="R251" s="14">
        <f>+[1]Consolidation!R251</f>
        <v>0</v>
      </c>
      <c r="S251" s="7">
        <f>+[1]Consolidation!S251</f>
        <v>0</v>
      </c>
      <c r="T251" s="12">
        <f>+[1]Consolidation!T251</f>
        <v>0</v>
      </c>
    </row>
    <row r="252" spans="1:20" ht="19.2" customHeight="1" x14ac:dyDescent="0.3">
      <c r="A252" s="9" t="str">
        <f>+IF([1]Consolidation!A252=0,"",[1]Consolidation!A252)</f>
        <v/>
      </c>
      <c r="B252" s="7">
        <f>+[1]Consolidation!B252</f>
        <v>0</v>
      </c>
      <c r="C252" s="19">
        <f>+[1]Consolidation!C252</f>
        <v>0</v>
      </c>
      <c r="D252" s="20">
        <f>+[1]Consolidation!D252</f>
        <v>0</v>
      </c>
      <c r="E252" s="12">
        <f>+[1]Consolidation!E252</f>
        <v>0</v>
      </c>
      <c r="F252" s="7">
        <f>+[1]Consolidation!F252</f>
        <v>0</v>
      </c>
      <c r="G252" s="7"/>
      <c r="H252" s="7">
        <f>+[1]Consolidation!H252</f>
        <v>0</v>
      </c>
      <c r="I252" s="14">
        <f>+[1]Consolidation!I252</f>
        <v>0</v>
      </c>
      <c r="J252" s="14">
        <f>+[1]Consolidation!J252</f>
        <v>0</v>
      </c>
      <c r="K252" s="14">
        <f>+[1]Consolidation!K252</f>
        <v>0</v>
      </c>
      <c r="L252" s="14">
        <f>+[1]Consolidation!L252</f>
        <v>0</v>
      </c>
      <c r="M252" s="16">
        <f>+[1]Consolidation!M252</f>
        <v>0</v>
      </c>
      <c r="N252" s="14">
        <f>+[1]Consolidation!N252</f>
        <v>0</v>
      </c>
      <c r="O252" s="14">
        <f>+[1]Consolidation!O252</f>
        <v>0</v>
      </c>
      <c r="P252" s="14">
        <f>+[1]Consolidation!P252</f>
        <v>0</v>
      </c>
      <c r="Q252" s="7">
        <f>+[1]Consolidation!Q252</f>
        <v>0</v>
      </c>
      <c r="R252" s="14">
        <f>+[1]Consolidation!R252</f>
        <v>0</v>
      </c>
      <c r="S252" s="7">
        <f>+[1]Consolidation!S252</f>
        <v>0</v>
      </c>
      <c r="T252" s="12">
        <f>+[1]Consolidation!T252</f>
        <v>0</v>
      </c>
    </row>
    <row r="253" spans="1:20" ht="19.2" customHeight="1" x14ac:dyDescent="0.3">
      <c r="A253" s="9" t="str">
        <f>+IF([1]Consolidation!A253=0,"",[1]Consolidation!A253)</f>
        <v/>
      </c>
      <c r="B253" s="7">
        <f>+[1]Consolidation!B253</f>
        <v>0</v>
      </c>
      <c r="C253" s="19">
        <f>+[1]Consolidation!C253</f>
        <v>0</v>
      </c>
      <c r="D253" s="20">
        <f>+[1]Consolidation!D253</f>
        <v>0</v>
      </c>
      <c r="E253" s="12">
        <f>+[1]Consolidation!E253</f>
        <v>0</v>
      </c>
      <c r="F253" s="7">
        <f>+[1]Consolidation!F253</f>
        <v>0</v>
      </c>
      <c r="G253" s="7"/>
      <c r="H253" s="7">
        <f>+[1]Consolidation!H253</f>
        <v>0</v>
      </c>
      <c r="I253" s="14">
        <f>+[1]Consolidation!I253</f>
        <v>0</v>
      </c>
      <c r="J253" s="14">
        <f>+[1]Consolidation!J253</f>
        <v>0</v>
      </c>
      <c r="K253" s="14">
        <f>+[1]Consolidation!K253</f>
        <v>0</v>
      </c>
      <c r="L253" s="14">
        <f>+[1]Consolidation!L253</f>
        <v>0</v>
      </c>
      <c r="M253" s="16">
        <f>+[1]Consolidation!M253</f>
        <v>0</v>
      </c>
      <c r="N253" s="14">
        <f>+[1]Consolidation!N253</f>
        <v>0</v>
      </c>
      <c r="O253" s="14">
        <f>+[1]Consolidation!O253</f>
        <v>0</v>
      </c>
      <c r="P253" s="14">
        <f>+[1]Consolidation!P253</f>
        <v>0</v>
      </c>
      <c r="Q253" s="7">
        <f>+[1]Consolidation!Q253</f>
        <v>0</v>
      </c>
      <c r="R253" s="14">
        <f>+[1]Consolidation!R253</f>
        <v>0</v>
      </c>
      <c r="S253" s="7">
        <f>+[1]Consolidation!S253</f>
        <v>0</v>
      </c>
      <c r="T253" s="12">
        <f>+[1]Consolidation!T253</f>
        <v>0</v>
      </c>
    </row>
    <row r="254" spans="1:20" ht="19.2" customHeight="1" x14ac:dyDescent="0.3">
      <c r="A254" s="9" t="str">
        <f>+IF([1]Consolidation!A254=0,"",[1]Consolidation!A254)</f>
        <v/>
      </c>
      <c r="B254" s="7">
        <f>+[1]Consolidation!B254</f>
        <v>0</v>
      </c>
      <c r="C254" s="19">
        <f>+[1]Consolidation!C254</f>
        <v>0</v>
      </c>
      <c r="D254" s="20">
        <f>+[1]Consolidation!D254</f>
        <v>0</v>
      </c>
      <c r="E254" s="12">
        <f>+[1]Consolidation!E254</f>
        <v>0</v>
      </c>
      <c r="F254" s="7">
        <f>+[1]Consolidation!F254</f>
        <v>0</v>
      </c>
      <c r="G254" s="7"/>
      <c r="H254" s="7">
        <f>+[1]Consolidation!H254</f>
        <v>0</v>
      </c>
      <c r="I254" s="14">
        <f>+[1]Consolidation!I254</f>
        <v>0</v>
      </c>
      <c r="J254" s="14">
        <f>+[1]Consolidation!J254</f>
        <v>0</v>
      </c>
      <c r="K254" s="14">
        <f>+[1]Consolidation!K254</f>
        <v>0</v>
      </c>
      <c r="L254" s="14">
        <f>+[1]Consolidation!L254</f>
        <v>0</v>
      </c>
      <c r="M254" s="16">
        <f>+[1]Consolidation!M254</f>
        <v>0</v>
      </c>
      <c r="N254" s="14">
        <f>+[1]Consolidation!N254</f>
        <v>0</v>
      </c>
      <c r="O254" s="14">
        <f>+[1]Consolidation!O254</f>
        <v>0</v>
      </c>
      <c r="P254" s="14">
        <f>+[1]Consolidation!P254</f>
        <v>0</v>
      </c>
      <c r="Q254" s="7">
        <f>+[1]Consolidation!Q254</f>
        <v>0</v>
      </c>
      <c r="R254" s="14">
        <f>+[1]Consolidation!R254</f>
        <v>0</v>
      </c>
      <c r="S254" s="7">
        <f>+[1]Consolidation!S254</f>
        <v>0</v>
      </c>
      <c r="T254" s="12">
        <f>+[1]Consolidation!T254</f>
        <v>0</v>
      </c>
    </row>
    <row r="255" spans="1:20" ht="19.2" customHeight="1" x14ac:dyDescent="0.3">
      <c r="A255" s="9" t="str">
        <f>+IF([1]Consolidation!A255=0,"",[1]Consolidation!A255)</f>
        <v/>
      </c>
      <c r="B255" s="7">
        <f>+[1]Consolidation!B255</f>
        <v>0</v>
      </c>
      <c r="C255" s="19">
        <f>+[1]Consolidation!C255</f>
        <v>0</v>
      </c>
      <c r="D255" s="20">
        <f>+[1]Consolidation!D255</f>
        <v>0</v>
      </c>
      <c r="E255" s="12">
        <f>+[1]Consolidation!E255</f>
        <v>0</v>
      </c>
      <c r="F255" s="7">
        <f>+[1]Consolidation!F255</f>
        <v>0</v>
      </c>
      <c r="G255" s="7"/>
      <c r="H255" s="7">
        <f>+[1]Consolidation!H255</f>
        <v>0</v>
      </c>
      <c r="I255" s="14">
        <f>+[1]Consolidation!I255</f>
        <v>0</v>
      </c>
      <c r="J255" s="14">
        <f>+[1]Consolidation!J255</f>
        <v>0</v>
      </c>
      <c r="K255" s="14">
        <f>+[1]Consolidation!K255</f>
        <v>0</v>
      </c>
      <c r="L255" s="14">
        <f>+[1]Consolidation!L255</f>
        <v>0</v>
      </c>
      <c r="M255" s="16">
        <f>+[1]Consolidation!M255</f>
        <v>0</v>
      </c>
      <c r="N255" s="14">
        <f>+[1]Consolidation!N255</f>
        <v>0</v>
      </c>
      <c r="O255" s="14">
        <f>+[1]Consolidation!O255</f>
        <v>0</v>
      </c>
      <c r="P255" s="14">
        <f>+[1]Consolidation!P255</f>
        <v>0</v>
      </c>
      <c r="Q255" s="7">
        <f>+[1]Consolidation!Q255</f>
        <v>0</v>
      </c>
      <c r="R255" s="14">
        <f>+[1]Consolidation!R255</f>
        <v>0</v>
      </c>
      <c r="S255" s="7">
        <f>+[1]Consolidation!S255</f>
        <v>0</v>
      </c>
      <c r="T255" s="12">
        <f>+[1]Consolidation!T255</f>
        <v>0</v>
      </c>
    </row>
    <row r="256" spans="1:20" ht="19.2" customHeight="1" x14ac:dyDescent="0.3">
      <c r="A256" s="9" t="str">
        <f>+IF([1]Consolidation!A256=0,"",[1]Consolidation!A256)</f>
        <v/>
      </c>
      <c r="B256" s="7">
        <f>+[1]Consolidation!B256</f>
        <v>0</v>
      </c>
      <c r="C256" s="19">
        <f>+[1]Consolidation!C256</f>
        <v>0</v>
      </c>
      <c r="D256" s="20">
        <f>+[1]Consolidation!D256</f>
        <v>0</v>
      </c>
      <c r="E256" s="12">
        <f>+[1]Consolidation!E256</f>
        <v>0</v>
      </c>
      <c r="F256" s="7">
        <f>+[1]Consolidation!F256</f>
        <v>0</v>
      </c>
      <c r="G256" s="7"/>
      <c r="H256" s="7">
        <f>+[1]Consolidation!H256</f>
        <v>0</v>
      </c>
      <c r="I256" s="14">
        <f>+[1]Consolidation!I256</f>
        <v>0</v>
      </c>
      <c r="J256" s="14">
        <f>+[1]Consolidation!J256</f>
        <v>0</v>
      </c>
      <c r="K256" s="14">
        <f>+[1]Consolidation!K256</f>
        <v>0</v>
      </c>
      <c r="L256" s="14">
        <f>+[1]Consolidation!L256</f>
        <v>0</v>
      </c>
      <c r="M256" s="16">
        <f>+[1]Consolidation!M256</f>
        <v>0</v>
      </c>
      <c r="N256" s="14">
        <f>+[1]Consolidation!N256</f>
        <v>0</v>
      </c>
      <c r="O256" s="14">
        <f>+[1]Consolidation!O256</f>
        <v>0</v>
      </c>
      <c r="P256" s="14">
        <f>+[1]Consolidation!P256</f>
        <v>0</v>
      </c>
      <c r="Q256" s="7">
        <f>+[1]Consolidation!Q256</f>
        <v>0</v>
      </c>
      <c r="R256" s="14">
        <f>+[1]Consolidation!R256</f>
        <v>0</v>
      </c>
      <c r="S256" s="7">
        <f>+[1]Consolidation!S256</f>
        <v>0</v>
      </c>
      <c r="T256" s="12">
        <f>+[1]Consolidation!T256</f>
        <v>0</v>
      </c>
    </row>
    <row r="257" spans="1:20" ht="19.2" customHeight="1" x14ac:dyDescent="0.3">
      <c r="A257" s="9" t="str">
        <f>+IF([1]Consolidation!A257=0,"",[1]Consolidation!A257)</f>
        <v/>
      </c>
      <c r="B257" s="7">
        <f>+[1]Consolidation!B257</f>
        <v>0</v>
      </c>
      <c r="C257" s="19">
        <f>+[1]Consolidation!C257</f>
        <v>0</v>
      </c>
      <c r="D257" s="20">
        <f>+[1]Consolidation!D257</f>
        <v>0</v>
      </c>
      <c r="E257" s="12">
        <f>+[1]Consolidation!E257</f>
        <v>0</v>
      </c>
      <c r="F257" s="7">
        <f>+[1]Consolidation!F257</f>
        <v>0</v>
      </c>
      <c r="G257" s="7"/>
      <c r="H257" s="7">
        <f>+[1]Consolidation!H257</f>
        <v>0</v>
      </c>
      <c r="I257" s="14">
        <f>+[1]Consolidation!I257</f>
        <v>0</v>
      </c>
      <c r="J257" s="14">
        <f>+[1]Consolidation!J257</f>
        <v>0</v>
      </c>
      <c r="K257" s="14">
        <f>+[1]Consolidation!K257</f>
        <v>0</v>
      </c>
      <c r="L257" s="14">
        <f>+[1]Consolidation!L257</f>
        <v>0</v>
      </c>
      <c r="M257" s="16">
        <f>+[1]Consolidation!M257</f>
        <v>0</v>
      </c>
      <c r="N257" s="14">
        <f>+[1]Consolidation!N257</f>
        <v>0</v>
      </c>
      <c r="O257" s="14">
        <f>+[1]Consolidation!O257</f>
        <v>0</v>
      </c>
      <c r="P257" s="14">
        <f>+[1]Consolidation!P257</f>
        <v>0</v>
      </c>
      <c r="Q257" s="7">
        <f>+[1]Consolidation!Q257</f>
        <v>0</v>
      </c>
      <c r="R257" s="14">
        <f>+[1]Consolidation!R257</f>
        <v>0</v>
      </c>
      <c r="S257" s="7">
        <f>+[1]Consolidation!S257</f>
        <v>0</v>
      </c>
      <c r="T257" s="12">
        <f>+[1]Consolidation!T257</f>
        <v>0</v>
      </c>
    </row>
    <row r="258" spans="1:20" ht="19.2" customHeight="1" x14ac:dyDescent="0.3">
      <c r="A258" s="9" t="str">
        <f>+IF([1]Consolidation!A258=0,"",[1]Consolidation!A258)</f>
        <v/>
      </c>
      <c r="B258" s="7">
        <f>+[1]Consolidation!B258</f>
        <v>0</v>
      </c>
      <c r="C258" s="19">
        <f>+[1]Consolidation!C258</f>
        <v>0</v>
      </c>
      <c r="D258" s="20">
        <f>+[1]Consolidation!D258</f>
        <v>0</v>
      </c>
      <c r="E258" s="12">
        <f>+[1]Consolidation!E258</f>
        <v>0</v>
      </c>
      <c r="F258" s="7">
        <f>+[1]Consolidation!F258</f>
        <v>0</v>
      </c>
      <c r="G258" s="7"/>
      <c r="H258" s="7">
        <f>+[1]Consolidation!H258</f>
        <v>0</v>
      </c>
      <c r="I258" s="14">
        <f>+[1]Consolidation!I258</f>
        <v>0</v>
      </c>
      <c r="J258" s="14">
        <f>+[1]Consolidation!J258</f>
        <v>0</v>
      </c>
      <c r="K258" s="14">
        <f>+[1]Consolidation!K258</f>
        <v>0</v>
      </c>
      <c r="L258" s="14">
        <f>+[1]Consolidation!L258</f>
        <v>0</v>
      </c>
      <c r="M258" s="16">
        <f>+[1]Consolidation!M258</f>
        <v>0</v>
      </c>
      <c r="N258" s="14">
        <f>+[1]Consolidation!N258</f>
        <v>0</v>
      </c>
      <c r="O258" s="14">
        <f>+[1]Consolidation!O258</f>
        <v>0</v>
      </c>
      <c r="P258" s="14">
        <f>+[1]Consolidation!P258</f>
        <v>0</v>
      </c>
      <c r="Q258" s="7">
        <f>+[1]Consolidation!Q258</f>
        <v>0</v>
      </c>
      <c r="R258" s="14">
        <f>+[1]Consolidation!R258</f>
        <v>0</v>
      </c>
      <c r="S258" s="7">
        <f>+[1]Consolidation!S258</f>
        <v>0</v>
      </c>
      <c r="T258" s="12">
        <f>+[1]Consolidation!T258</f>
        <v>0</v>
      </c>
    </row>
    <row r="259" spans="1:20" ht="19.2" customHeight="1" x14ac:dyDescent="0.3">
      <c r="A259" s="9" t="str">
        <f>+IF([1]Consolidation!A259=0,"",[1]Consolidation!A259)</f>
        <v/>
      </c>
      <c r="B259" s="7">
        <f>+[1]Consolidation!B259</f>
        <v>0</v>
      </c>
      <c r="C259" s="19">
        <f>+[1]Consolidation!C259</f>
        <v>0</v>
      </c>
      <c r="D259" s="20">
        <f>+[1]Consolidation!D259</f>
        <v>0</v>
      </c>
      <c r="E259" s="12">
        <f>+[1]Consolidation!E259</f>
        <v>0</v>
      </c>
      <c r="F259" s="7">
        <f>+[1]Consolidation!F259</f>
        <v>0</v>
      </c>
      <c r="G259" s="7"/>
      <c r="H259" s="7">
        <f>+[1]Consolidation!H259</f>
        <v>0</v>
      </c>
      <c r="I259" s="14">
        <f>+[1]Consolidation!I259</f>
        <v>0</v>
      </c>
      <c r="J259" s="14">
        <f>+[1]Consolidation!J259</f>
        <v>0</v>
      </c>
      <c r="K259" s="14">
        <f>+[1]Consolidation!K259</f>
        <v>0</v>
      </c>
      <c r="L259" s="14">
        <f>+[1]Consolidation!L259</f>
        <v>0</v>
      </c>
      <c r="M259" s="16">
        <f>+[1]Consolidation!M259</f>
        <v>0</v>
      </c>
      <c r="N259" s="14">
        <f>+[1]Consolidation!N259</f>
        <v>0</v>
      </c>
      <c r="O259" s="14">
        <f>+[1]Consolidation!O259</f>
        <v>0</v>
      </c>
      <c r="P259" s="14">
        <f>+[1]Consolidation!P259</f>
        <v>0</v>
      </c>
      <c r="Q259" s="7">
        <f>+[1]Consolidation!Q259</f>
        <v>0</v>
      </c>
      <c r="R259" s="14">
        <f>+[1]Consolidation!R259</f>
        <v>0</v>
      </c>
      <c r="S259" s="7">
        <f>+[1]Consolidation!S259</f>
        <v>0</v>
      </c>
      <c r="T259" s="12">
        <f>+[1]Consolidation!T259</f>
        <v>0</v>
      </c>
    </row>
    <row r="260" spans="1:20" ht="19.2" customHeight="1" x14ac:dyDescent="0.3">
      <c r="A260" s="9" t="str">
        <f>+IF([1]Consolidation!A260=0,"",[1]Consolidation!A260)</f>
        <v/>
      </c>
      <c r="B260" s="7">
        <f>+[1]Consolidation!B260</f>
        <v>0</v>
      </c>
      <c r="C260" s="19">
        <f>+[1]Consolidation!C260</f>
        <v>0</v>
      </c>
      <c r="D260" s="20">
        <f>+[1]Consolidation!D260</f>
        <v>0</v>
      </c>
      <c r="E260" s="12">
        <f>+[1]Consolidation!E260</f>
        <v>0</v>
      </c>
      <c r="F260" s="7">
        <f>+[1]Consolidation!F260</f>
        <v>0</v>
      </c>
      <c r="G260" s="7"/>
      <c r="H260" s="7">
        <f>+[1]Consolidation!H260</f>
        <v>0</v>
      </c>
      <c r="I260" s="14">
        <f>+[1]Consolidation!I260</f>
        <v>0</v>
      </c>
      <c r="J260" s="14">
        <f>+[1]Consolidation!J260</f>
        <v>0</v>
      </c>
      <c r="K260" s="14">
        <f>+[1]Consolidation!K260</f>
        <v>0</v>
      </c>
      <c r="L260" s="14">
        <f>+[1]Consolidation!L260</f>
        <v>0</v>
      </c>
      <c r="M260" s="16">
        <f>+[1]Consolidation!M260</f>
        <v>0</v>
      </c>
      <c r="N260" s="14">
        <f>+[1]Consolidation!N260</f>
        <v>0</v>
      </c>
      <c r="O260" s="14">
        <f>+[1]Consolidation!O260</f>
        <v>0</v>
      </c>
      <c r="P260" s="14">
        <f>+[1]Consolidation!P260</f>
        <v>0</v>
      </c>
      <c r="Q260" s="7">
        <f>+[1]Consolidation!Q260</f>
        <v>0</v>
      </c>
      <c r="R260" s="14">
        <f>+[1]Consolidation!R260</f>
        <v>0</v>
      </c>
      <c r="S260" s="7">
        <f>+[1]Consolidation!S260</f>
        <v>0</v>
      </c>
      <c r="T260" s="12">
        <f>+[1]Consolidation!T260</f>
        <v>0</v>
      </c>
    </row>
    <row r="261" spans="1:20" ht="19.2" customHeight="1" x14ac:dyDescent="0.3">
      <c r="A261" s="9" t="str">
        <f>+IF([1]Consolidation!A261=0,"",[1]Consolidation!A261)</f>
        <v/>
      </c>
      <c r="B261" s="7">
        <f>+[1]Consolidation!B261</f>
        <v>0</v>
      </c>
      <c r="C261" s="19">
        <f>+[1]Consolidation!C261</f>
        <v>0</v>
      </c>
      <c r="D261" s="20">
        <f>+[1]Consolidation!D261</f>
        <v>0</v>
      </c>
      <c r="E261" s="12">
        <f>+[1]Consolidation!E261</f>
        <v>0</v>
      </c>
      <c r="F261" s="7">
        <f>+[1]Consolidation!F261</f>
        <v>0</v>
      </c>
      <c r="G261" s="7"/>
      <c r="H261" s="7">
        <f>+[1]Consolidation!H261</f>
        <v>0</v>
      </c>
      <c r="I261" s="14">
        <f>+[1]Consolidation!I261</f>
        <v>0</v>
      </c>
      <c r="J261" s="14">
        <f>+[1]Consolidation!J261</f>
        <v>0</v>
      </c>
      <c r="K261" s="14">
        <f>+[1]Consolidation!K261</f>
        <v>0</v>
      </c>
      <c r="L261" s="14">
        <f>+[1]Consolidation!L261</f>
        <v>0</v>
      </c>
      <c r="M261" s="16">
        <f>+[1]Consolidation!M261</f>
        <v>0</v>
      </c>
      <c r="N261" s="14">
        <f>+[1]Consolidation!N261</f>
        <v>0</v>
      </c>
      <c r="O261" s="14">
        <f>+[1]Consolidation!O261</f>
        <v>0</v>
      </c>
      <c r="P261" s="14">
        <f>+[1]Consolidation!P261</f>
        <v>0</v>
      </c>
      <c r="Q261" s="7">
        <f>+[1]Consolidation!Q261</f>
        <v>0</v>
      </c>
      <c r="R261" s="14">
        <f>+[1]Consolidation!R261</f>
        <v>0</v>
      </c>
      <c r="S261" s="7">
        <f>+[1]Consolidation!S261</f>
        <v>0</v>
      </c>
      <c r="T261" s="12">
        <f>+[1]Consolidation!T261</f>
        <v>0</v>
      </c>
    </row>
    <row r="262" spans="1:20" ht="19.2" customHeight="1" x14ac:dyDescent="0.3">
      <c r="A262" s="9" t="str">
        <f>+IF([1]Consolidation!A262=0,"",[1]Consolidation!A262)</f>
        <v/>
      </c>
      <c r="B262" s="7">
        <f>+[1]Consolidation!B262</f>
        <v>0</v>
      </c>
      <c r="C262" s="19">
        <f>+[1]Consolidation!C262</f>
        <v>0</v>
      </c>
      <c r="D262" s="20">
        <f>+[1]Consolidation!D262</f>
        <v>0</v>
      </c>
      <c r="E262" s="12">
        <f>+[1]Consolidation!E262</f>
        <v>0</v>
      </c>
      <c r="F262" s="7">
        <f>+[1]Consolidation!F262</f>
        <v>0</v>
      </c>
      <c r="G262" s="7"/>
      <c r="H262" s="7">
        <f>+[1]Consolidation!H262</f>
        <v>0</v>
      </c>
      <c r="I262" s="14">
        <f>+[1]Consolidation!I262</f>
        <v>0</v>
      </c>
      <c r="J262" s="14">
        <f>+[1]Consolidation!J262</f>
        <v>0</v>
      </c>
      <c r="K262" s="14">
        <f>+[1]Consolidation!K262</f>
        <v>0</v>
      </c>
      <c r="L262" s="14">
        <f>+[1]Consolidation!L262</f>
        <v>0</v>
      </c>
      <c r="M262" s="16">
        <f>+[1]Consolidation!M262</f>
        <v>0</v>
      </c>
      <c r="N262" s="14">
        <f>+[1]Consolidation!N262</f>
        <v>0</v>
      </c>
      <c r="O262" s="14">
        <f>+[1]Consolidation!O262</f>
        <v>0</v>
      </c>
      <c r="P262" s="14">
        <f>+[1]Consolidation!P262</f>
        <v>0</v>
      </c>
      <c r="Q262" s="7">
        <f>+[1]Consolidation!Q262</f>
        <v>0</v>
      </c>
      <c r="R262" s="14">
        <f>+[1]Consolidation!R262</f>
        <v>0</v>
      </c>
      <c r="S262" s="7">
        <f>+[1]Consolidation!S262</f>
        <v>0</v>
      </c>
      <c r="T262" s="12">
        <f>+[1]Consolidation!T262</f>
        <v>0</v>
      </c>
    </row>
    <row r="263" spans="1:20" ht="19.2" customHeight="1" x14ac:dyDescent="0.3">
      <c r="A263" s="9" t="str">
        <f>+IF([1]Consolidation!A263=0,"",[1]Consolidation!A263)</f>
        <v/>
      </c>
      <c r="B263" s="7">
        <f>+[1]Consolidation!B263</f>
        <v>0</v>
      </c>
      <c r="C263" s="19">
        <f>+[1]Consolidation!C263</f>
        <v>0</v>
      </c>
      <c r="D263" s="20">
        <f>+[1]Consolidation!D263</f>
        <v>0</v>
      </c>
      <c r="E263" s="12">
        <f>+[1]Consolidation!E263</f>
        <v>0</v>
      </c>
      <c r="F263" s="7">
        <f>+[1]Consolidation!F263</f>
        <v>0</v>
      </c>
      <c r="G263" s="7"/>
      <c r="H263" s="7">
        <f>+[1]Consolidation!H263</f>
        <v>0</v>
      </c>
      <c r="I263" s="14">
        <f>+[1]Consolidation!I263</f>
        <v>0</v>
      </c>
      <c r="J263" s="14">
        <f>+[1]Consolidation!J263</f>
        <v>0</v>
      </c>
      <c r="K263" s="14">
        <f>+[1]Consolidation!K263</f>
        <v>0</v>
      </c>
      <c r="L263" s="14">
        <f>+[1]Consolidation!L263</f>
        <v>0</v>
      </c>
      <c r="M263" s="16">
        <f>+[1]Consolidation!M263</f>
        <v>0</v>
      </c>
      <c r="N263" s="14">
        <f>+[1]Consolidation!N263</f>
        <v>0</v>
      </c>
      <c r="O263" s="14">
        <f>+[1]Consolidation!O263</f>
        <v>0</v>
      </c>
      <c r="P263" s="14">
        <f>+[1]Consolidation!P263</f>
        <v>0</v>
      </c>
      <c r="Q263" s="7">
        <f>+[1]Consolidation!Q263</f>
        <v>0</v>
      </c>
      <c r="R263" s="14">
        <f>+[1]Consolidation!R263</f>
        <v>0</v>
      </c>
      <c r="S263" s="7">
        <f>+[1]Consolidation!S263</f>
        <v>0</v>
      </c>
      <c r="T263" s="12">
        <f>+[1]Consolidation!T263</f>
        <v>0</v>
      </c>
    </row>
    <row r="264" spans="1:20" ht="19.2" customHeight="1" x14ac:dyDescent="0.3">
      <c r="A264" s="9" t="str">
        <f>+IF([1]Consolidation!A264=0,"",[1]Consolidation!A264)</f>
        <v/>
      </c>
      <c r="B264" s="7">
        <f>+[1]Consolidation!B264</f>
        <v>0</v>
      </c>
      <c r="C264" s="19">
        <f>+[1]Consolidation!C264</f>
        <v>0</v>
      </c>
      <c r="D264" s="20">
        <f>+[1]Consolidation!D264</f>
        <v>0</v>
      </c>
      <c r="E264" s="12">
        <f>+[1]Consolidation!E264</f>
        <v>0</v>
      </c>
      <c r="F264" s="7">
        <f>+[1]Consolidation!F264</f>
        <v>0</v>
      </c>
      <c r="G264" s="7"/>
      <c r="H264" s="7">
        <f>+[1]Consolidation!H264</f>
        <v>0</v>
      </c>
      <c r="I264" s="14">
        <f>+[1]Consolidation!I264</f>
        <v>0</v>
      </c>
      <c r="J264" s="14">
        <f>+[1]Consolidation!J264</f>
        <v>0</v>
      </c>
      <c r="K264" s="14">
        <f>+[1]Consolidation!K264</f>
        <v>0</v>
      </c>
      <c r="L264" s="14">
        <f>+[1]Consolidation!L264</f>
        <v>0</v>
      </c>
      <c r="M264" s="16">
        <f>+[1]Consolidation!M264</f>
        <v>0</v>
      </c>
      <c r="N264" s="14">
        <f>+[1]Consolidation!N264</f>
        <v>0</v>
      </c>
      <c r="O264" s="14">
        <f>+[1]Consolidation!O264</f>
        <v>0</v>
      </c>
      <c r="P264" s="14">
        <f>+[1]Consolidation!P264</f>
        <v>0</v>
      </c>
      <c r="Q264" s="7">
        <f>+[1]Consolidation!Q264</f>
        <v>0</v>
      </c>
      <c r="R264" s="14">
        <f>+[1]Consolidation!R264</f>
        <v>0</v>
      </c>
      <c r="S264" s="7">
        <f>+[1]Consolidation!S264</f>
        <v>0</v>
      </c>
      <c r="T264" s="12">
        <f>+[1]Consolidation!T264</f>
        <v>0</v>
      </c>
    </row>
    <row r="265" spans="1:20" ht="19.2" customHeight="1" x14ac:dyDescent="0.3">
      <c r="A265" s="9" t="str">
        <f>+IF([1]Consolidation!A265=0,"",[1]Consolidation!A265)</f>
        <v/>
      </c>
      <c r="B265" s="7">
        <f>+[1]Consolidation!B265</f>
        <v>0</v>
      </c>
      <c r="C265" s="19">
        <f>+[1]Consolidation!C265</f>
        <v>0</v>
      </c>
      <c r="D265" s="20">
        <f>+[1]Consolidation!D265</f>
        <v>0</v>
      </c>
      <c r="E265" s="12">
        <f>+[1]Consolidation!E265</f>
        <v>0</v>
      </c>
      <c r="F265" s="7">
        <f>+[1]Consolidation!F265</f>
        <v>0</v>
      </c>
      <c r="G265" s="7"/>
      <c r="H265" s="7">
        <f>+[1]Consolidation!H265</f>
        <v>0</v>
      </c>
      <c r="I265" s="14">
        <f>+[1]Consolidation!I265</f>
        <v>0</v>
      </c>
      <c r="J265" s="14">
        <f>+[1]Consolidation!J265</f>
        <v>0</v>
      </c>
      <c r="K265" s="14">
        <f>+[1]Consolidation!K265</f>
        <v>0</v>
      </c>
      <c r="L265" s="14">
        <f>+[1]Consolidation!L265</f>
        <v>0</v>
      </c>
      <c r="M265" s="16">
        <f>+[1]Consolidation!M265</f>
        <v>0</v>
      </c>
      <c r="N265" s="14">
        <f>+[1]Consolidation!N265</f>
        <v>0</v>
      </c>
      <c r="O265" s="14">
        <f>+[1]Consolidation!O265</f>
        <v>0</v>
      </c>
      <c r="P265" s="14">
        <f>+[1]Consolidation!P265</f>
        <v>0</v>
      </c>
      <c r="Q265" s="7">
        <f>+[1]Consolidation!Q265</f>
        <v>0</v>
      </c>
      <c r="R265" s="14">
        <f>+[1]Consolidation!R265</f>
        <v>0</v>
      </c>
      <c r="S265" s="7">
        <f>+[1]Consolidation!S265</f>
        <v>0</v>
      </c>
      <c r="T265" s="12">
        <f>+[1]Consolidation!T265</f>
        <v>0</v>
      </c>
    </row>
    <row r="266" spans="1:20" ht="19.2" customHeight="1" x14ac:dyDescent="0.3">
      <c r="A266" s="9" t="str">
        <f>+IF([1]Consolidation!A266=0,"",[1]Consolidation!A266)</f>
        <v/>
      </c>
      <c r="B266" s="7">
        <f>+[1]Consolidation!B266</f>
        <v>0</v>
      </c>
      <c r="C266" s="19">
        <f>+[1]Consolidation!C266</f>
        <v>0</v>
      </c>
      <c r="D266" s="20">
        <f>+[1]Consolidation!D266</f>
        <v>0</v>
      </c>
      <c r="E266" s="12">
        <f>+[1]Consolidation!E266</f>
        <v>0</v>
      </c>
      <c r="F266" s="7">
        <f>+[1]Consolidation!F266</f>
        <v>0</v>
      </c>
      <c r="G266" s="7"/>
      <c r="H266" s="7">
        <f>+[1]Consolidation!H266</f>
        <v>0</v>
      </c>
      <c r="I266" s="14">
        <f>+[1]Consolidation!I266</f>
        <v>0</v>
      </c>
      <c r="J266" s="14">
        <f>+[1]Consolidation!J266</f>
        <v>0</v>
      </c>
      <c r="K266" s="14">
        <f>+[1]Consolidation!K266</f>
        <v>0</v>
      </c>
      <c r="L266" s="14">
        <f>+[1]Consolidation!L266</f>
        <v>0</v>
      </c>
      <c r="M266" s="16">
        <f>+[1]Consolidation!M266</f>
        <v>0</v>
      </c>
      <c r="N266" s="14">
        <f>+[1]Consolidation!N266</f>
        <v>0</v>
      </c>
      <c r="O266" s="14">
        <f>+[1]Consolidation!O266</f>
        <v>0</v>
      </c>
      <c r="P266" s="14">
        <f>+[1]Consolidation!P266</f>
        <v>0</v>
      </c>
      <c r="Q266" s="7">
        <f>+[1]Consolidation!Q266</f>
        <v>0</v>
      </c>
      <c r="R266" s="14">
        <f>+[1]Consolidation!R266</f>
        <v>0</v>
      </c>
      <c r="S266" s="7">
        <f>+[1]Consolidation!S266</f>
        <v>0</v>
      </c>
      <c r="T266" s="12">
        <f>+[1]Consolidation!T266</f>
        <v>0</v>
      </c>
    </row>
    <row r="267" spans="1:20" ht="19.2" customHeight="1" x14ac:dyDescent="0.3">
      <c r="A267" s="9" t="str">
        <f>+IF([1]Consolidation!A267=0,"",[1]Consolidation!A267)</f>
        <v/>
      </c>
      <c r="B267" s="7">
        <f>+[1]Consolidation!B267</f>
        <v>0</v>
      </c>
      <c r="C267" s="19">
        <f>+[1]Consolidation!C267</f>
        <v>0</v>
      </c>
      <c r="D267" s="20">
        <f>+[1]Consolidation!D267</f>
        <v>0</v>
      </c>
      <c r="E267" s="12">
        <f>+[1]Consolidation!E267</f>
        <v>0</v>
      </c>
      <c r="F267" s="7">
        <f>+[1]Consolidation!F267</f>
        <v>0</v>
      </c>
      <c r="G267" s="7"/>
      <c r="H267" s="7">
        <f>+[1]Consolidation!H267</f>
        <v>0</v>
      </c>
      <c r="I267" s="14">
        <f>+[1]Consolidation!I267</f>
        <v>0</v>
      </c>
      <c r="J267" s="14">
        <f>+[1]Consolidation!J267</f>
        <v>0</v>
      </c>
      <c r="K267" s="14">
        <f>+[1]Consolidation!K267</f>
        <v>0</v>
      </c>
      <c r="L267" s="14">
        <f>+[1]Consolidation!L267</f>
        <v>0</v>
      </c>
      <c r="M267" s="16">
        <f>+[1]Consolidation!M267</f>
        <v>0</v>
      </c>
      <c r="N267" s="14">
        <f>+[1]Consolidation!N267</f>
        <v>0</v>
      </c>
      <c r="O267" s="14">
        <f>+[1]Consolidation!O267</f>
        <v>0</v>
      </c>
      <c r="P267" s="14">
        <f>+[1]Consolidation!P267</f>
        <v>0</v>
      </c>
      <c r="Q267" s="7">
        <f>+[1]Consolidation!Q267</f>
        <v>0</v>
      </c>
      <c r="R267" s="14">
        <f>+[1]Consolidation!R267</f>
        <v>0</v>
      </c>
      <c r="S267" s="7">
        <f>+[1]Consolidation!S267</f>
        <v>0</v>
      </c>
      <c r="T267" s="12">
        <f>+[1]Consolidation!T267</f>
        <v>0</v>
      </c>
    </row>
    <row r="268" spans="1:20" ht="19.2" customHeight="1" x14ac:dyDescent="0.3">
      <c r="A268" s="9" t="str">
        <f>+IF([1]Consolidation!A268=0,"",[1]Consolidation!A268)</f>
        <v/>
      </c>
      <c r="B268" s="7">
        <f>+[1]Consolidation!B268</f>
        <v>0</v>
      </c>
      <c r="C268" s="19">
        <f>+[1]Consolidation!C268</f>
        <v>0</v>
      </c>
      <c r="D268" s="20">
        <f>+[1]Consolidation!D268</f>
        <v>0</v>
      </c>
      <c r="E268" s="12">
        <f>+[1]Consolidation!E268</f>
        <v>0</v>
      </c>
      <c r="F268" s="7">
        <f>+[1]Consolidation!F268</f>
        <v>0</v>
      </c>
      <c r="G268" s="7"/>
      <c r="H268" s="7">
        <f>+[1]Consolidation!H268</f>
        <v>0</v>
      </c>
      <c r="I268" s="14">
        <f>+[1]Consolidation!I268</f>
        <v>0</v>
      </c>
      <c r="J268" s="14">
        <f>+[1]Consolidation!J268</f>
        <v>0</v>
      </c>
      <c r="K268" s="14">
        <f>+[1]Consolidation!K268</f>
        <v>0</v>
      </c>
      <c r="L268" s="14">
        <f>+[1]Consolidation!L268</f>
        <v>0</v>
      </c>
      <c r="M268" s="16">
        <f>+[1]Consolidation!M268</f>
        <v>0</v>
      </c>
      <c r="N268" s="14">
        <f>+[1]Consolidation!N268</f>
        <v>0</v>
      </c>
      <c r="O268" s="14">
        <f>+[1]Consolidation!O268</f>
        <v>0</v>
      </c>
      <c r="P268" s="14">
        <f>+[1]Consolidation!P268</f>
        <v>0</v>
      </c>
      <c r="Q268" s="7">
        <f>+[1]Consolidation!Q268</f>
        <v>0</v>
      </c>
      <c r="R268" s="14">
        <f>+[1]Consolidation!R268</f>
        <v>0</v>
      </c>
      <c r="S268" s="7">
        <f>+[1]Consolidation!S268</f>
        <v>0</v>
      </c>
      <c r="T268" s="12">
        <f>+[1]Consolidation!T268</f>
        <v>0</v>
      </c>
    </row>
    <row r="269" spans="1:20" ht="19.2" customHeight="1" x14ac:dyDescent="0.3">
      <c r="A269" s="9" t="str">
        <f>+IF([1]Consolidation!A269=0,"",[1]Consolidation!A269)</f>
        <v/>
      </c>
      <c r="B269" s="7">
        <f>+[1]Consolidation!B269</f>
        <v>0</v>
      </c>
      <c r="C269" s="19">
        <f>+[1]Consolidation!C269</f>
        <v>0</v>
      </c>
      <c r="D269" s="20">
        <f>+[1]Consolidation!D269</f>
        <v>0</v>
      </c>
      <c r="E269" s="12">
        <f>+[1]Consolidation!E269</f>
        <v>0</v>
      </c>
      <c r="F269" s="7">
        <f>+[1]Consolidation!F269</f>
        <v>0</v>
      </c>
      <c r="G269" s="7"/>
      <c r="H269" s="7">
        <f>+[1]Consolidation!H269</f>
        <v>0</v>
      </c>
      <c r="I269" s="14">
        <f>+[1]Consolidation!I269</f>
        <v>0</v>
      </c>
      <c r="J269" s="14">
        <f>+[1]Consolidation!J269</f>
        <v>0</v>
      </c>
      <c r="K269" s="14">
        <f>+[1]Consolidation!K269</f>
        <v>0</v>
      </c>
      <c r="L269" s="14">
        <f>+[1]Consolidation!L269</f>
        <v>0</v>
      </c>
      <c r="M269" s="16">
        <f>+[1]Consolidation!M269</f>
        <v>0</v>
      </c>
      <c r="N269" s="14">
        <f>+[1]Consolidation!N269</f>
        <v>0</v>
      </c>
      <c r="O269" s="14">
        <f>+[1]Consolidation!O269</f>
        <v>0</v>
      </c>
      <c r="P269" s="14">
        <f>+[1]Consolidation!P269</f>
        <v>0</v>
      </c>
      <c r="Q269" s="7">
        <f>+[1]Consolidation!Q269</f>
        <v>0</v>
      </c>
      <c r="R269" s="14">
        <f>+[1]Consolidation!R269</f>
        <v>0</v>
      </c>
      <c r="S269" s="7">
        <f>+[1]Consolidation!S269</f>
        <v>0</v>
      </c>
      <c r="T269" s="12">
        <f>+[1]Consolidation!T269</f>
        <v>0</v>
      </c>
    </row>
    <row r="270" spans="1:20" ht="19.2" customHeight="1" x14ac:dyDescent="0.3">
      <c r="A270" s="9" t="str">
        <f>+IF([1]Consolidation!A270=0,"",[1]Consolidation!A270)</f>
        <v/>
      </c>
      <c r="B270" s="7">
        <f>+[1]Consolidation!B270</f>
        <v>0</v>
      </c>
      <c r="C270" s="19">
        <f>+[1]Consolidation!C270</f>
        <v>0</v>
      </c>
      <c r="D270" s="20">
        <f>+[1]Consolidation!D270</f>
        <v>0</v>
      </c>
      <c r="E270" s="12">
        <f>+[1]Consolidation!E270</f>
        <v>0</v>
      </c>
      <c r="F270" s="7">
        <f>+[1]Consolidation!F270</f>
        <v>0</v>
      </c>
      <c r="G270" s="7"/>
      <c r="H270" s="7">
        <f>+[1]Consolidation!H270</f>
        <v>0</v>
      </c>
      <c r="I270" s="14">
        <f>+[1]Consolidation!I270</f>
        <v>0</v>
      </c>
      <c r="J270" s="14">
        <f>+[1]Consolidation!J270</f>
        <v>0</v>
      </c>
      <c r="K270" s="14">
        <f>+[1]Consolidation!K270</f>
        <v>0</v>
      </c>
      <c r="L270" s="14">
        <f>+[1]Consolidation!L270</f>
        <v>0</v>
      </c>
      <c r="M270" s="16">
        <f>+[1]Consolidation!M270</f>
        <v>0</v>
      </c>
      <c r="N270" s="14">
        <f>+[1]Consolidation!N270</f>
        <v>0</v>
      </c>
      <c r="O270" s="14">
        <f>+[1]Consolidation!O270</f>
        <v>0</v>
      </c>
      <c r="P270" s="14">
        <f>+[1]Consolidation!P270</f>
        <v>0</v>
      </c>
      <c r="Q270" s="7">
        <f>+[1]Consolidation!Q270</f>
        <v>0</v>
      </c>
      <c r="R270" s="14">
        <f>+[1]Consolidation!R270</f>
        <v>0</v>
      </c>
      <c r="S270" s="7">
        <f>+[1]Consolidation!S270</f>
        <v>0</v>
      </c>
      <c r="T270" s="12">
        <f>+[1]Consolidation!T270</f>
        <v>0</v>
      </c>
    </row>
    <row r="271" spans="1:20" ht="19.2" customHeight="1" x14ac:dyDescent="0.3">
      <c r="A271" s="9" t="str">
        <f>+IF([1]Consolidation!A271=0,"",[1]Consolidation!A271)</f>
        <v/>
      </c>
      <c r="B271" s="7">
        <f>+[1]Consolidation!B271</f>
        <v>0</v>
      </c>
      <c r="C271" s="19">
        <f>+[1]Consolidation!C271</f>
        <v>0</v>
      </c>
      <c r="D271" s="20">
        <f>+[1]Consolidation!D271</f>
        <v>0</v>
      </c>
      <c r="E271" s="12">
        <f>+[1]Consolidation!E271</f>
        <v>0</v>
      </c>
      <c r="F271" s="7">
        <f>+[1]Consolidation!F271</f>
        <v>0</v>
      </c>
      <c r="G271" s="7"/>
      <c r="H271" s="7">
        <f>+[1]Consolidation!H271</f>
        <v>0</v>
      </c>
      <c r="I271" s="14">
        <f>+[1]Consolidation!I271</f>
        <v>0</v>
      </c>
      <c r="J271" s="14">
        <f>+[1]Consolidation!J271</f>
        <v>0</v>
      </c>
      <c r="K271" s="14">
        <f>+[1]Consolidation!K271</f>
        <v>0</v>
      </c>
      <c r="L271" s="14">
        <f>+[1]Consolidation!L271</f>
        <v>0</v>
      </c>
      <c r="M271" s="16">
        <f>+[1]Consolidation!M271</f>
        <v>0</v>
      </c>
      <c r="N271" s="14">
        <f>+[1]Consolidation!N271</f>
        <v>0</v>
      </c>
      <c r="O271" s="14">
        <f>+[1]Consolidation!O271</f>
        <v>0</v>
      </c>
      <c r="P271" s="14">
        <f>+[1]Consolidation!P271</f>
        <v>0</v>
      </c>
      <c r="Q271" s="7">
        <f>+[1]Consolidation!Q271</f>
        <v>0</v>
      </c>
      <c r="R271" s="14">
        <f>+[1]Consolidation!R271</f>
        <v>0</v>
      </c>
      <c r="S271" s="7">
        <f>+[1]Consolidation!S271</f>
        <v>0</v>
      </c>
      <c r="T271" s="12">
        <f>+[1]Consolidation!T271</f>
        <v>0</v>
      </c>
    </row>
    <row r="272" spans="1:20" ht="19.2" customHeight="1" x14ac:dyDescent="0.3">
      <c r="A272" s="9" t="str">
        <f>+IF([1]Consolidation!A272=0,"",[1]Consolidation!A272)</f>
        <v/>
      </c>
      <c r="B272" s="7">
        <f>+[1]Consolidation!B272</f>
        <v>0</v>
      </c>
      <c r="C272" s="19">
        <f>+[1]Consolidation!C272</f>
        <v>0</v>
      </c>
      <c r="D272" s="20">
        <f>+[1]Consolidation!D272</f>
        <v>0</v>
      </c>
      <c r="E272" s="12">
        <f>+[1]Consolidation!E272</f>
        <v>0</v>
      </c>
      <c r="F272" s="7">
        <f>+[1]Consolidation!F272</f>
        <v>0</v>
      </c>
      <c r="G272" s="7"/>
      <c r="H272" s="7">
        <f>+[1]Consolidation!H272</f>
        <v>0</v>
      </c>
      <c r="I272" s="14">
        <f>+[1]Consolidation!I272</f>
        <v>0</v>
      </c>
      <c r="J272" s="14">
        <f>+[1]Consolidation!J272</f>
        <v>0</v>
      </c>
      <c r="K272" s="14">
        <f>+[1]Consolidation!K272</f>
        <v>0</v>
      </c>
      <c r="L272" s="14">
        <f>+[1]Consolidation!L272</f>
        <v>0</v>
      </c>
      <c r="M272" s="16">
        <f>+[1]Consolidation!M272</f>
        <v>0</v>
      </c>
      <c r="N272" s="14">
        <f>+[1]Consolidation!N272</f>
        <v>0</v>
      </c>
      <c r="O272" s="14">
        <f>+[1]Consolidation!O272</f>
        <v>0</v>
      </c>
      <c r="P272" s="14">
        <f>+[1]Consolidation!P272</f>
        <v>0</v>
      </c>
      <c r="Q272" s="7">
        <f>+[1]Consolidation!Q272</f>
        <v>0</v>
      </c>
      <c r="R272" s="14">
        <f>+[1]Consolidation!R272</f>
        <v>0</v>
      </c>
      <c r="S272" s="7">
        <f>+[1]Consolidation!S272</f>
        <v>0</v>
      </c>
      <c r="T272" s="12">
        <f>+[1]Consolidation!T272</f>
        <v>0</v>
      </c>
    </row>
    <row r="273" spans="1:20" ht="19.2" customHeight="1" x14ac:dyDescent="0.3">
      <c r="A273" s="9" t="str">
        <f>+IF([1]Consolidation!A273=0,"",[1]Consolidation!A273)</f>
        <v/>
      </c>
      <c r="B273" s="7">
        <f>+[1]Consolidation!B273</f>
        <v>0</v>
      </c>
      <c r="C273" s="19">
        <f>+[1]Consolidation!C273</f>
        <v>0</v>
      </c>
      <c r="D273" s="20">
        <f>+[1]Consolidation!D273</f>
        <v>0</v>
      </c>
      <c r="E273" s="12">
        <f>+[1]Consolidation!E273</f>
        <v>0</v>
      </c>
      <c r="F273" s="7">
        <f>+[1]Consolidation!F273</f>
        <v>0</v>
      </c>
      <c r="G273" s="7"/>
      <c r="H273" s="7">
        <f>+[1]Consolidation!H273</f>
        <v>0</v>
      </c>
      <c r="I273" s="14">
        <f>+[1]Consolidation!I273</f>
        <v>0</v>
      </c>
      <c r="J273" s="14">
        <f>+[1]Consolidation!J273</f>
        <v>0</v>
      </c>
      <c r="K273" s="14">
        <f>+[1]Consolidation!K273</f>
        <v>0</v>
      </c>
      <c r="L273" s="14">
        <f>+[1]Consolidation!L273</f>
        <v>0</v>
      </c>
      <c r="M273" s="16">
        <f>+[1]Consolidation!M273</f>
        <v>0</v>
      </c>
      <c r="N273" s="14">
        <f>+[1]Consolidation!N273</f>
        <v>0</v>
      </c>
      <c r="O273" s="14">
        <f>+[1]Consolidation!O273</f>
        <v>0</v>
      </c>
      <c r="P273" s="14">
        <f>+[1]Consolidation!P273</f>
        <v>0</v>
      </c>
      <c r="Q273" s="7">
        <f>+[1]Consolidation!Q273</f>
        <v>0</v>
      </c>
      <c r="R273" s="14">
        <f>+[1]Consolidation!R273</f>
        <v>0</v>
      </c>
      <c r="S273" s="7">
        <f>+[1]Consolidation!S273</f>
        <v>0</v>
      </c>
      <c r="T273" s="12">
        <f>+[1]Consolidation!T273</f>
        <v>0</v>
      </c>
    </row>
    <row r="274" spans="1:20" ht="19.2" customHeight="1" x14ac:dyDescent="0.3">
      <c r="A274" s="9" t="str">
        <f>+IF([1]Consolidation!A274=0,"",[1]Consolidation!A274)</f>
        <v/>
      </c>
      <c r="B274" s="7">
        <f>+[1]Consolidation!B274</f>
        <v>0</v>
      </c>
      <c r="C274" s="19">
        <f>+[1]Consolidation!C274</f>
        <v>0</v>
      </c>
      <c r="D274" s="20">
        <f>+[1]Consolidation!D274</f>
        <v>0</v>
      </c>
      <c r="E274" s="12">
        <f>+[1]Consolidation!E274</f>
        <v>0</v>
      </c>
      <c r="F274" s="7">
        <f>+[1]Consolidation!F274</f>
        <v>0</v>
      </c>
      <c r="G274" s="7"/>
      <c r="H274" s="7">
        <f>+[1]Consolidation!H274</f>
        <v>0</v>
      </c>
      <c r="I274" s="14">
        <f>+[1]Consolidation!I274</f>
        <v>0</v>
      </c>
      <c r="J274" s="14">
        <f>+[1]Consolidation!J274</f>
        <v>0</v>
      </c>
      <c r="K274" s="14">
        <f>+[1]Consolidation!K274</f>
        <v>0</v>
      </c>
      <c r="L274" s="14">
        <f>+[1]Consolidation!L274</f>
        <v>0</v>
      </c>
      <c r="M274" s="16">
        <f>+[1]Consolidation!M274</f>
        <v>0</v>
      </c>
      <c r="N274" s="14">
        <f>+[1]Consolidation!N274</f>
        <v>0</v>
      </c>
      <c r="O274" s="14">
        <f>+[1]Consolidation!O274</f>
        <v>0</v>
      </c>
      <c r="P274" s="14">
        <f>+[1]Consolidation!P274</f>
        <v>0</v>
      </c>
      <c r="Q274" s="7">
        <f>+[1]Consolidation!Q274</f>
        <v>0</v>
      </c>
      <c r="R274" s="14">
        <f>+[1]Consolidation!R274</f>
        <v>0</v>
      </c>
      <c r="S274" s="7">
        <f>+[1]Consolidation!S274</f>
        <v>0</v>
      </c>
      <c r="T274" s="12">
        <f>+[1]Consolidation!T274</f>
        <v>0</v>
      </c>
    </row>
    <row r="275" spans="1:20" ht="19.2" customHeight="1" x14ac:dyDescent="0.3">
      <c r="A275" s="9" t="str">
        <f>+IF([1]Consolidation!A275=0,"",[1]Consolidation!A275)</f>
        <v/>
      </c>
      <c r="B275" s="7">
        <f>+[1]Consolidation!B275</f>
        <v>0</v>
      </c>
      <c r="C275" s="19">
        <f>+[1]Consolidation!C275</f>
        <v>0</v>
      </c>
      <c r="D275" s="20">
        <f>+[1]Consolidation!D275</f>
        <v>0</v>
      </c>
      <c r="E275" s="12">
        <f>+[1]Consolidation!E275</f>
        <v>0</v>
      </c>
      <c r="F275" s="7">
        <f>+[1]Consolidation!F275</f>
        <v>0</v>
      </c>
      <c r="G275" s="7"/>
      <c r="H275" s="7">
        <f>+[1]Consolidation!H275</f>
        <v>0</v>
      </c>
      <c r="I275" s="14">
        <f>+[1]Consolidation!I275</f>
        <v>0</v>
      </c>
      <c r="J275" s="14">
        <f>+[1]Consolidation!J275</f>
        <v>0</v>
      </c>
      <c r="K275" s="14">
        <f>+[1]Consolidation!K275</f>
        <v>0</v>
      </c>
      <c r="L275" s="14">
        <f>+[1]Consolidation!L275</f>
        <v>0</v>
      </c>
      <c r="M275" s="16">
        <f>+[1]Consolidation!M275</f>
        <v>0</v>
      </c>
      <c r="N275" s="14">
        <f>+[1]Consolidation!N275</f>
        <v>0</v>
      </c>
      <c r="O275" s="14">
        <f>+[1]Consolidation!O275</f>
        <v>0</v>
      </c>
      <c r="P275" s="14">
        <f>+[1]Consolidation!P275</f>
        <v>0</v>
      </c>
      <c r="Q275" s="7">
        <f>+[1]Consolidation!Q275</f>
        <v>0</v>
      </c>
      <c r="R275" s="14">
        <f>+[1]Consolidation!R275</f>
        <v>0</v>
      </c>
      <c r="S275" s="7">
        <f>+[1]Consolidation!S275</f>
        <v>0</v>
      </c>
      <c r="T275" s="12">
        <f>+[1]Consolidation!T275</f>
        <v>0</v>
      </c>
    </row>
    <row r="276" spans="1:20" ht="19.2" customHeight="1" x14ac:dyDescent="0.3">
      <c r="A276" s="9" t="str">
        <f>+IF([1]Consolidation!A276=0,"",[1]Consolidation!A276)</f>
        <v/>
      </c>
      <c r="B276" s="7">
        <f>+[1]Consolidation!B276</f>
        <v>0</v>
      </c>
      <c r="C276" s="19">
        <f>+[1]Consolidation!C276</f>
        <v>0</v>
      </c>
      <c r="D276" s="20">
        <f>+[1]Consolidation!D276</f>
        <v>0</v>
      </c>
      <c r="E276" s="12">
        <f>+[1]Consolidation!E276</f>
        <v>0</v>
      </c>
      <c r="F276" s="7">
        <f>+[1]Consolidation!F276</f>
        <v>0</v>
      </c>
      <c r="G276" s="7"/>
      <c r="H276" s="7">
        <f>+[1]Consolidation!H276</f>
        <v>0</v>
      </c>
      <c r="I276" s="14">
        <f>+[1]Consolidation!I276</f>
        <v>0</v>
      </c>
      <c r="J276" s="14">
        <f>+[1]Consolidation!J276</f>
        <v>0</v>
      </c>
      <c r="K276" s="14">
        <f>+[1]Consolidation!K276</f>
        <v>0</v>
      </c>
      <c r="L276" s="14">
        <f>+[1]Consolidation!L276</f>
        <v>0</v>
      </c>
      <c r="M276" s="16">
        <f>+[1]Consolidation!M276</f>
        <v>0</v>
      </c>
      <c r="N276" s="14">
        <f>+[1]Consolidation!N276</f>
        <v>0</v>
      </c>
      <c r="O276" s="14">
        <f>+[1]Consolidation!O276</f>
        <v>0</v>
      </c>
      <c r="P276" s="14">
        <f>+[1]Consolidation!P276</f>
        <v>0</v>
      </c>
      <c r="Q276" s="7">
        <f>+[1]Consolidation!Q276</f>
        <v>0</v>
      </c>
      <c r="R276" s="14">
        <f>+[1]Consolidation!R276</f>
        <v>0</v>
      </c>
      <c r="S276" s="7">
        <f>+[1]Consolidation!S276</f>
        <v>0</v>
      </c>
      <c r="T276" s="12">
        <f>+[1]Consolidation!T276</f>
        <v>0</v>
      </c>
    </row>
    <row r="277" spans="1:20" ht="19.2" customHeight="1" x14ac:dyDescent="0.3">
      <c r="A277" s="9" t="str">
        <f>+IF([1]Consolidation!A277=0,"",[1]Consolidation!A277)</f>
        <v/>
      </c>
      <c r="B277" s="7">
        <f>+[1]Consolidation!B277</f>
        <v>0</v>
      </c>
      <c r="C277" s="19">
        <f>+[1]Consolidation!C277</f>
        <v>0</v>
      </c>
      <c r="D277" s="20">
        <f>+[1]Consolidation!D277</f>
        <v>0</v>
      </c>
      <c r="E277" s="12">
        <f>+[1]Consolidation!E277</f>
        <v>0</v>
      </c>
      <c r="F277" s="7">
        <f>+[1]Consolidation!F277</f>
        <v>0</v>
      </c>
      <c r="G277" s="7"/>
      <c r="H277" s="7">
        <f>+[1]Consolidation!H277</f>
        <v>0</v>
      </c>
      <c r="I277" s="14">
        <f>+[1]Consolidation!I277</f>
        <v>0</v>
      </c>
      <c r="J277" s="14">
        <f>+[1]Consolidation!J277</f>
        <v>0</v>
      </c>
      <c r="K277" s="14">
        <f>+[1]Consolidation!K277</f>
        <v>0</v>
      </c>
      <c r="L277" s="14">
        <f>+[1]Consolidation!L277</f>
        <v>0</v>
      </c>
      <c r="M277" s="16">
        <f>+[1]Consolidation!M277</f>
        <v>0</v>
      </c>
      <c r="N277" s="14">
        <f>+[1]Consolidation!N277</f>
        <v>0</v>
      </c>
      <c r="O277" s="14">
        <f>+[1]Consolidation!O277</f>
        <v>0</v>
      </c>
      <c r="P277" s="14">
        <f>+[1]Consolidation!P277</f>
        <v>0</v>
      </c>
      <c r="Q277" s="7">
        <f>+[1]Consolidation!Q277</f>
        <v>0</v>
      </c>
      <c r="R277" s="14">
        <f>+[1]Consolidation!R277</f>
        <v>0</v>
      </c>
      <c r="S277" s="7">
        <f>+[1]Consolidation!S277</f>
        <v>0</v>
      </c>
      <c r="T277" s="12">
        <f>+[1]Consolidation!T277</f>
        <v>0</v>
      </c>
    </row>
    <row r="278" spans="1:20" ht="19.2" customHeight="1" x14ac:dyDescent="0.3">
      <c r="A278" s="9" t="str">
        <f>+IF([1]Consolidation!A278=0,"",[1]Consolidation!A278)</f>
        <v/>
      </c>
      <c r="B278" s="7">
        <f>+[1]Consolidation!B278</f>
        <v>0</v>
      </c>
      <c r="C278" s="19">
        <f>+[1]Consolidation!C278</f>
        <v>0</v>
      </c>
      <c r="D278" s="20">
        <f>+[1]Consolidation!D278</f>
        <v>0</v>
      </c>
      <c r="E278" s="12">
        <f>+[1]Consolidation!E278</f>
        <v>0</v>
      </c>
      <c r="F278" s="7">
        <f>+[1]Consolidation!F278</f>
        <v>0</v>
      </c>
      <c r="G278" s="7"/>
      <c r="H278" s="7">
        <f>+[1]Consolidation!H278</f>
        <v>0</v>
      </c>
      <c r="I278" s="14">
        <f>+[1]Consolidation!I278</f>
        <v>0</v>
      </c>
      <c r="J278" s="14">
        <f>+[1]Consolidation!J278</f>
        <v>0</v>
      </c>
      <c r="K278" s="14">
        <f>+[1]Consolidation!K278</f>
        <v>0</v>
      </c>
      <c r="L278" s="14">
        <f>+[1]Consolidation!L278</f>
        <v>0</v>
      </c>
      <c r="M278" s="16">
        <f>+[1]Consolidation!M278</f>
        <v>0</v>
      </c>
      <c r="N278" s="14">
        <f>+[1]Consolidation!N278</f>
        <v>0</v>
      </c>
      <c r="O278" s="14">
        <f>+[1]Consolidation!O278</f>
        <v>0</v>
      </c>
      <c r="P278" s="14">
        <f>+[1]Consolidation!P278</f>
        <v>0</v>
      </c>
      <c r="Q278" s="7">
        <f>+[1]Consolidation!Q278</f>
        <v>0</v>
      </c>
      <c r="R278" s="14">
        <f>+[1]Consolidation!R278</f>
        <v>0</v>
      </c>
      <c r="S278" s="7">
        <f>+[1]Consolidation!S278</f>
        <v>0</v>
      </c>
      <c r="T278" s="12">
        <f>+[1]Consolidation!T278</f>
        <v>0</v>
      </c>
    </row>
    <row r="279" spans="1:20" ht="19.2" customHeight="1" x14ac:dyDescent="0.3">
      <c r="A279" s="9" t="str">
        <f>+IF([1]Consolidation!A279=0,"",[1]Consolidation!A279)</f>
        <v/>
      </c>
      <c r="B279" s="7">
        <f>+[1]Consolidation!B279</f>
        <v>0</v>
      </c>
      <c r="C279" s="19">
        <f>+[1]Consolidation!C279</f>
        <v>0</v>
      </c>
      <c r="D279" s="20">
        <f>+[1]Consolidation!D279</f>
        <v>0</v>
      </c>
      <c r="E279" s="12">
        <f>+[1]Consolidation!E279</f>
        <v>0</v>
      </c>
      <c r="F279" s="7">
        <f>+[1]Consolidation!F279</f>
        <v>0</v>
      </c>
      <c r="G279" s="7"/>
      <c r="H279" s="7">
        <f>+[1]Consolidation!H279</f>
        <v>0</v>
      </c>
      <c r="I279" s="14">
        <f>+[1]Consolidation!I279</f>
        <v>0</v>
      </c>
      <c r="J279" s="14">
        <f>+[1]Consolidation!J279</f>
        <v>0</v>
      </c>
      <c r="K279" s="14">
        <f>+[1]Consolidation!K279</f>
        <v>0</v>
      </c>
      <c r="L279" s="14">
        <f>+[1]Consolidation!L279</f>
        <v>0</v>
      </c>
      <c r="M279" s="16">
        <f>+[1]Consolidation!M279</f>
        <v>0</v>
      </c>
      <c r="N279" s="14">
        <f>+[1]Consolidation!N279</f>
        <v>0</v>
      </c>
      <c r="O279" s="14">
        <f>+[1]Consolidation!O279</f>
        <v>0</v>
      </c>
      <c r="P279" s="14">
        <f>+[1]Consolidation!P279</f>
        <v>0</v>
      </c>
      <c r="Q279" s="7">
        <f>+[1]Consolidation!Q279</f>
        <v>0</v>
      </c>
      <c r="R279" s="14">
        <f>+[1]Consolidation!R279</f>
        <v>0</v>
      </c>
      <c r="S279" s="7">
        <f>+[1]Consolidation!S279</f>
        <v>0</v>
      </c>
      <c r="T279" s="12">
        <f>+[1]Consolidation!T279</f>
        <v>0</v>
      </c>
    </row>
    <row r="280" spans="1:20" ht="19.2" customHeight="1" x14ac:dyDescent="0.3">
      <c r="A280" s="9" t="str">
        <f>+IF([1]Consolidation!A280=0,"",[1]Consolidation!A280)</f>
        <v/>
      </c>
      <c r="B280" s="7">
        <f>+[1]Consolidation!B280</f>
        <v>0</v>
      </c>
      <c r="C280" s="19">
        <f>+[1]Consolidation!C280</f>
        <v>0</v>
      </c>
      <c r="D280" s="20">
        <f>+[1]Consolidation!D280</f>
        <v>0</v>
      </c>
      <c r="E280" s="12">
        <f>+[1]Consolidation!E280</f>
        <v>0</v>
      </c>
      <c r="F280" s="7">
        <f>+[1]Consolidation!F280</f>
        <v>0</v>
      </c>
      <c r="G280" s="7"/>
      <c r="H280" s="7">
        <f>+[1]Consolidation!H280</f>
        <v>0</v>
      </c>
      <c r="I280" s="14">
        <f>+[1]Consolidation!I280</f>
        <v>0</v>
      </c>
      <c r="J280" s="14">
        <f>+[1]Consolidation!J280</f>
        <v>0</v>
      </c>
      <c r="K280" s="14">
        <f>+[1]Consolidation!K280</f>
        <v>0</v>
      </c>
      <c r="L280" s="14">
        <f>+[1]Consolidation!L280</f>
        <v>0</v>
      </c>
      <c r="M280" s="16">
        <f>+[1]Consolidation!M280</f>
        <v>0</v>
      </c>
      <c r="N280" s="14">
        <f>+[1]Consolidation!N280</f>
        <v>0</v>
      </c>
      <c r="O280" s="14">
        <f>+[1]Consolidation!O280</f>
        <v>0</v>
      </c>
      <c r="P280" s="14">
        <f>+[1]Consolidation!P280</f>
        <v>0</v>
      </c>
      <c r="Q280" s="7">
        <f>+[1]Consolidation!Q280</f>
        <v>0</v>
      </c>
      <c r="R280" s="14">
        <f>+[1]Consolidation!R280</f>
        <v>0</v>
      </c>
      <c r="S280" s="7">
        <f>+[1]Consolidation!S280</f>
        <v>0</v>
      </c>
      <c r="T280" s="12">
        <f>+[1]Consolidation!T280</f>
        <v>0</v>
      </c>
    </row>
    <row r="281" spans="1:20" ht="19.2" customHeight="1" x14ac:dyDescent="0.3">
      <c r="A281" s="9" t="str">
        <f>+IF([1]Consolidation!A281=0,"",[1]Consolidation!A281)</f>
        <v/>
      </c>
      <c r="B281" s="7">
        <f>+[1]Consolidation!B281</f>
        <v>0</v>
      </c>
      <c r="C281" s="19">
        <f>+[1]Consolidation!C281</f>
        <v>0</v>
      </c>
      <c r="D281" s="20">
        <f>+[1]Consolidation!D281</f>
        <v>0</v>
      </c>
      <c r="E281" s="12">
        <f>+[1]Consolidation!E281</f>
        <v>0</v>
      </c>
      <c r="F281" s="7">
        <f>+[1]Consolidation!F281</f>
        <v>0</v>
      </c>
      <c r="G281" s="7"/>
      <c r="H281" s="7">
        <f>+[1]Consolidation!H281</f>
        <v>0</v>
      </c>
      <c r="I281" s="14">
        <f>+[1]Consolidation!I281</f>
        <v>0</v>
      </c>
      <c r="J281" s="14">
        <f>+[1]Consolidation!J281</f>
        <v>0</v>
      </c>
      <c r="K281" s="14">
        <f>+[1]Consolidation!K281</f>
        <v>0</v>
      </c>
      <c r="L281" s="14">
        <f>+[1]Consolidation!L281</f>
        <v>0</v>
      </c>
      <c r="M281" s="16">
        <f>+[1]Consolidation!M281</f>
        <v>0</v>
      </c>
      <c r="N281" s="14">
        <f>+[1]Consolidation!N281</f>
        <v>0</v>
      </c>
      <c r="O281" s="14">
        <f>+[1]Consolidation!O281</f>
        <v>0</v>
      </c>
      <c r="P281" s="14">
        <f>+[1]Consolidation!P281</f>
        <v>0</v>
      </c>
      <c r="Q281" s="7">
        <f>+[1]Consolidation!Q281</f>
        <v>0</v>
      </c>
      <c r="R281" s="14">
        <f>+[1]Consolidation!R281</f>
        <v>0</v>
      </c>
      <c r="S281" s="7">
        <f>+[1]Consolidation!S281</f>
        <v>0</v>
      </c>
      <c r="T281" s="12">
        <f>+[1]Consolidation!T281</f>
        <v>0</v>
      </c>
    </row>
    <row r="282" spans="1:20" ht="19.2" customHeight="1" x14ac:dyDescent="0.3">
      <c r="A282" s="9" t="str">
        <f>+IF([1]Consolidation!A282=0,"",[1]Consolidation!A282)</f>
        <v/>
      </c>
      <c r="B282" s="7">
        <f>+[1]Consolidation!B282</f>
        <v>0</v>
      </c>
      <c r="C282" s="19">
        <f>+[1]Consolidation!C282</f>
        <v>0</v>
      </c>
      <c r="D282" s="20">
        <f>+[1]Consolidation!D282</f>
        <v>0</v>
      </c>
      <c r="E282" s="12">
        <f>+[1]Consolidation!E282</f>
        <v>0</v>
      </c>
      <c r="F282" s="7">
        <f>+[1]Consolidation!F282</f>
        <v>0</v>
      </c>
      <c r="G282" s="7"/>
      <c r="H282" s="7">
        <f>+[1]Consolidation!H282</f>
        <v>0</v>
      </c>
      <c r="I282" s="14">
        <f>+[1]Consolidation!I282</f>
        <v>0</v>
      </c>
      <c r="J282" s="14">
        <f>+[1]Consolidation!J282</f>
        <v>0</v>
      </c>
      <c r="K282" s="14">
        <f>+[1]Consolidation!K282</f>
        <v>0</v>
      </c>
      <c r="L282" s="14">
        <f>+[1]Consolidation!L282</f>
        <v>0</v>
      </c>
      <c r="M282" s="16">
        <f>+[1]Consolidation!M282</f>
        <v>0</v>
      </c>
      <c r="N282" s="14">
        <f>+[1]Consolidation!N282</f>
        <v>0</v>
      </c>
      <c r="O282" s="14">
        <f>+[1]Consolidation!O282</f>
        <v>0</v>
      </c>
      <c r="P282" s="14">
        <f>+[1]Consolidation!P282</f>
        <v>0</v>
      </c>
      <c r="Q282" s="7">
        <f>+[1]Consolidation!Q282</f>
        <v>0</v>
      </c>
      <c r="R282" s="14">
        <f>+[1]Consolidation!R282</f>
        <v>0</v>
      </c>
      <c r="S282" s="7">
        <f>+[1]Consolidation!S282</f>
        <v>0</v>
      </c>
      <c r="T282" s="12">
        <f>+[1]Consolidation!T282</f>
        <v>0</v>
      </c>
    </row>
    <row r="283" spans="1:20" ht="19.2" customHeight="1" x14ac:dyDescent="0.3">
      <c r="A283" s="9" t="str">
        <f>+IF([1]Consolidation!A283=0,"",[1]Consolidation!A283)</f>
        <v/>
      </c>
      <c r="B283" s="7">
        <f>+[1]Consolidation!B283</f>
        <v>0</v>
      </c>
      <c r="C283" s="19">
        <f>+[1]Consolidation!C283</f>
        <v>0</v>
      </c>
      <c r="D283" s="20">
        <f>+[1]Consolidation!D283</f>
        <v>0</v>
      </c>
      <c r="E283" s="12">
        <f>+[1]Consolidation!E283</f>
        <v>0</v>
      </c>
      <c r="F283" s="7">
        <f>+[1]Consolidation!F283</f>
        <v>0</v>
      </c>
      <c r="G283" s="7"/>
      <c r="H283" s="7">
        <f>+[1]Consolidation!H283</f>
        <v>0</v>
      </c>
      <c r="I283" s="14">
        <f>+[1]Consolidation!I283</f>
        <v>0</v>
      </c>
      <c r="J283" s="14">
        <f>+[1]Consolidation!J283</f>
        <v>0</v>
      </c>
      <c r="K283" s="14">
        <f>+[1]Consolidation!K283</f>
        <v>0</v>
      </c>
      <c r="L283" s="14">
        <f>+[1]Consolidation!L283</f>
        <v>0</v>
      </c>
      <c r="M283" s="16">
        <f>+[1]Consolidation!M283</f>
        <v>0</v>
      </c>
      <c r="N283" s="14">
        <f>+[1]Consolidation!N283</f>
        <v>0</v>
      </c>
      <c r="O283" s="14">
        <f>+[1]Consolidation!O283</f>
        <v>0</v>
      </c>
      <c r="P283" s="14">
        <f>+[1]Consolidation!P283</f>
        <v>0</v>
      </c>
      <c r="Q283" s="7">
        <f>+[1]Consolidation!Q283</f>
        <v>0</v>
      </c>
      <c r="R283" s="14">
        <f>+[1]Consolidation!R283</f>
        <v>0</v>
      </c>
      <c r="S283" s="7">
        <f>+[1]Consolidation!S283</f>
        <v>0</v>
      </c>
      <c r="T283" s="12">
        <f>+[1]Consolidation!T283</f>
        <v>0</v>
      </c>
    </row>
    <row r="284" spans="1:20" ht="19.2" customHeight="1" x14ac:dyDescent="0.3">
      <c r="A284" s="9" t="str">
        <f>+IF([1]Consolidation!A284=0,"",[1]Consolidation!A284)</f>
        <v/>
      </c>
      <c r="B284" s="7">
        <f>+[1]Consolidation!B284</f>
        <v>0</v>
      </c>
      <c r="C284" s="19">
        <f>+[1]Consolidation!C284</f>
        <v>0</v>
      </c>
      <c r="D284" s="20">
        <f>+[1]Consolidation!D284</f>
        <v>0</v>
      </c>
      <c r="E284" s="12">
        <f>+[1]Consolidation!E284</f>
        <v>0</v>
      </c>
      <c r="F284" s="7">
        <f>+[1]Consolidation!F284</f>
        <v>0</v>
      </c>
      <c r="G284" s="7"/>
      <c r="H284" s="7">
        <f>+[1]Consolidation!H284</f>
        <v>0</v>
      </c>
      <c r="I284" s="14">
        <f>+[1]Consolidation!I284</f>
        <v>0</v>
      </c>
      <c r="J284" s="14">
        <f>+[1]Consolidation!J284</f>
        <v>0</v>
      </c>
      <c r="K284" s="14">
        <f>+[1]Consolidation!K284</f>
        <v>0</v>
      </c>
      <c r="L284" s="14">
        <f>+[1]Consolidation!L284</f>
        <v>0</v>
      </c>
      <c r="M284" s="16">
        <f>+[1]Consolidation!M284</f>
        <v>0</v>
      </c>
      <c r="N284" s="14">
        <f>+[1]Consolidation!N284</f>
        <v>0</v>
      </c>
      <c r="O284" s="14">
        <f>+[1]Consolidation!O284</f>
        <v>0</v>
      </c>
      <c r="P284" s="14">
        <f>+[1]Consolidation!P284</f>
        <v>0</v>
      </c>
      <c r="Q284" s="7">
        <f>+[1]Consolidation!Q284</f>
        <v>0</v>
      </c>
      <c r="R284" s="14">
        <f>+[1]Consolidation!R284</f>
        <v>0</v>
      </c>
      <c r="S284" s="7">
        <f>+[1]Consolidation!S284</f>
        <v>0</v>
      </c>
      <c r="T284" s="12">
        <f>+[1]Consolidation!T284</f>
        <v>0</v>
      </c>
    </row>
    <row r="285" spans="1:20" ht="19.2" customHeight="1" x14ac:dyDescent="0.3">
      <c r="A285" s="9" t="str">
        <f>+IF([1]Consolidation!A285=0,"",[1]Consolidation!A285)</f>
        <v/>
      </c>
      <c r="B285" s="7">
        <f>+[1]Consolidation!B285</f>
        <v>0</v>
      </c>
      <c r="C285" s="19">
        <f>+[1]Consolidation!C285</f>
        <v>0</v>
      </c>
      <c r="D285" s="20">
        <f>+[1]Consolidation!D285</f>
        <v>0</v>
      </c>
      <c r="E285" s="12">
        <f>+[1]Consolidation!E285</f>
        <v>0</v>
      </c>
      <c r="F285" s="7">
        <f>+[1]Consolidation!F285</f>
        <v>0</v>
      </c>
      <c r="G285" s="7"/>
      <c r="H285" s="7">
        <f>+[1]Consolidation!H285</f>
        <v>0</v>
      </c>
      <c r="I285" s="14">
        <f>+[1]Consolidation!I285</f>
        <v>0</v>
      </c>
      <c r="J285" s="14">
        <f>+[1]Consolidation!J285</f>
        <v>0</v>
      </c>
      <c r="K285" s="14">
        <f>+[1]Consolidation!K285</f>
        <v>0</v>
      </c>
      <c r="L285" s="14">
        <f>+[1]Consolidation!L285</f>
        <v>0</v>
      </c>
      <c r="M285" s="16">
        <f>+[1]Consolidation!M285</f>
        <v>0</v>
      </c>
      <c r="N285" s="14">
        <f>+[1]Consolidation!N285</f>
        <v>0</v>
      </c>
      <c r="O285" s="14">
        <f>+[1]Consolidation!O285</f>
        <v>0</v>
      </c>
      <c r="P285" s="14">
        <f>+[1]Consolidation!P285</f>
        <v>0</v>
      </c>
      <c r="Q285" s="7">
        <f>+[1]Consolidation!Q285</f>
        <v>0</v>
      </c>
      <c r="R285" s="14">
        <f>+[1]Consolidation!R285</f>
        <v>0</v>
      </c>
      <c r="S285" s="7">
        <f>+[1]Consolidation!S285</f>
        <v>0</v>
      </c>
      <c r="T285" s="12">
        <f>+[1]Consolidation!T285</f>
        <v>0</v>
      </c>
    </row>
    <row r="286" spans="1:20" ht="19.2" customHeight="1" x14ac:dyDescent="0.3">
      <c r="A286" s="9" t="str">
        <f>+IF([1]Consolidation!A286=0,"",[1]Consolidation!A286)</f>
        <v/>
      </c>
      <c r="B286" s="7">
        <f>+[1]Consolidation!B286</f>
        <v>0</v>
      </c>
      <c r="C286" s="19">
        <f>+[1]Consolidation!C286</f>
        <v>0</v>
      </c>
      <c r="D286" s="20">
        <f>+[1]Consolidation!D286</f>
        <v>0</v>
      </c>
      <c r="E286" s="12">
        <f>+[1]Consolidation!E286</f>
        <v>0</v>
      </c>
      <c r="F286" s="7">
        <f>+[1]Consolidation!F286</f>
        <v>0</v>
      </c>
      <c r="G286" s="7"/>
      <c r="H286" s="7">
        <f>+[1]Consolidation!H286</f>
        <v>0</v>
      </c>
      <c r="I286" s="14">
        <f>+[1]Consolidation!I286</f>
        <v>0</v>
      </c>
      <c r="J286" s="14">
        <f>+[1]Consolidation!J286</f>
        <v>0</v>
      </c>
      <c r="K286" s="14">
        <f>+[1]Consolidation!K286</f>
        <v>0</v>
      </c>
      <c r="L286" s="14">
        <f>+[1]Consolidation!L286</f>
        <v>0</v>
      </c>
      <c r="M286" s="16">
        <f>+[1]Consolidation!M286</f>
        <v>0</v>
      </c>
      <c r="N286" s="14">
        <f>+[1]Consolidation!N286</f>
        <v>0</v>
      </c>
      <c r="O286" s="14">
        <f>+[1]Consolidation!O286</f>
        <v>0</v>
      </c>
      <c r="P286" s="14">
        <f>+[1]Consolidation!P286</f>
        <v>0</v>
      </c>
      <c r="Q286" s="7">
        <f>+[1]Consolidation!Q286</f>
        <v>0</v>
      </c>
      <c r="R286" s="14">
        <f>+[1]Consolidation!R286</f>
        <v>0</v>
      </c>
      <c r="S286" s="7">
        <f>+[1]Consolidation!S286</f>
        <v>0</v>
      </c>
      <c r="T286" s="12">
        <f>+[1]Consolidation!T286</f>
        <v>0</v>
      </c>
    </row>
    <row r="287" spans="1:20" ht="19.2" customHeight="1" x14ac:dyDescent="0.3">
      <c r="A287" s="9" t="str">
        <f>+IF([1]Consolidation!A287=0,"",[1]Consolidation!A287)</f>
        <v/>
      </c>
      <c r="B287" s="7">
        <f>+[1]Consolidation!B287</f>
        <v>0</v>
      </c>
      <c r="C287" s="19">
        <f>+[1]Consolidation!C287</f>
        <v>0</v>
      </c>
      <c r="D287" s="20">
        <f>+[1]Consolidation!D287</f>
        <v>0</v>
      </c>
      <c r="E287" s="12">
        <f>+[1]Consolidation!E287</f>
        <v>0</v>
      </c>
      <c r="F287" s="7">
        <f>+[1]Consolidation!F287</f>
        <v>0</v>
      </c>
      <c r="G287" s="7"/>
      <c r="H287" s="7">
        <f>+[1]Consolidation!H287</f>
        <v>0</v>
      </c>
      <c r="I287" s="14">
        <f>+[1]Consolidation!I287</f>
        <v>0</v>
      </c>
      <c r="J287" s="14">
        <f>+[1]Consolidation!J287</f>
        <v>0</v>
      </c>
      <c r="K287" s="14">
        <f>+[1]Consolidation!K287</f>
        <v>0</v>
      </c>
      <c r="L287" s="14">
        <f>+[1]Consolidation!L287</f>
        <v>0</v>
      </c>
      <c r="M287" s="16">
        <f>+[1]Consolidation!M287</f>
        <v>0</v>
      </c>
      <c r="N287" s="14">
        <f>+[1]Consolidation!N287</f>
        <v>0</v>
      </c>
      <c r="O287" s="14">
        <f>+[1]Consolidation!O287</f>
        <v>0</v>
      </c>
      <c r="P287" s="14">
        <f>+[1]Consolidation!P287</f>
        <v>0</v>
      </c>
      <c r="Q287" s="7">
        <f>+[1]Consolidation!Q287</f>
        <v>0</v>
      </c>
      <c r="R287" s="14">
        <f>+[1]Consolidation!R287</f>
        <v>0</v>
      </c>
      <c r="S287" s="7">
        <f>+[1]Consolidation!S287</f>
        <v>0</v>
      </c>
      <c r="T287" s="12">
        <f>+[1]Consolidation!T287</f>
        <v>0</v>
      </c>
    </row>
    <row r="288" spans="1:20" ht="19.2" customHeight="1" x14ac:dyDescent="0.3">
      <c r="A288" s="9" t="str">
        <f>+IF([1]Consolidation!A288=0,"",[1]Consolidation!A288)</f>
        <v/>
      </c>
      <c r="B288" s="7">
        <f>+[1]Consolidation!B288</f>
        <v>0</v>
      </c>
      <c r="C288" s="19">
        <f>+[1]Consolidation!C288</f>
        <v>0</v>
      </c>
      <c r="D288" s="20">
        <f>+[1]Consolidation!D288</f>
        <v>0</v>
      </c>
      <c r="E288" s="12">
        <f>+[1]Consolidation!E288</f>
        <v>0</v>
      </c>
      <c r="F288" s="7">
        <f>+[1]Consolidation!F288</f>
        <v>0</v>
      </c>
      <c r="G288" s="7"/>
      <c r="H288" s="7">
        <f>+[1]Consolidation!H288</f>
        <v>0</v>
      </c>
      <c r="I288" s="14">
        <f>+[1]Consolidation!I288</f>
        <v>0</v>
      </c>
      <c r="J288" s="14">
        <f>+[1]Consolidation!J288</f>
        <v>0</v>
      </c>
      <c r="K288" s="14">
        <f>+[1]Consolidation!K288</f>
        <v>0</v>
      </c>
      <c r="L288" s="14">
        <f>+[1]Consolidation!L288</f>
        <v>0</v>
      </c>
      <c r="M288" s="16">
        <f>+[1]Consolidation!M288</f>
        <v>0</v>
      </c>
      <c r="N288" s="14">
        <f>+[1]Consolidation!N288</f>
        <v>0</v>
      </c>
      <c r="O288" s="14">
        <f>+[1]Consolidation!O288</f>
        <v>0</v>
      </c>
      <c r="P288" s="14">
        <f>+[1]Consolidation!P288</f>
        <v>0</v>
      </c>
      <c r="Q288" s="7">
        <f>+[1]Consolidation!Q288</f>
        <v>0</v>
      </c>
      <c r="R288" s="14">
        <f>+[1]Consolidation!R288</f>
        <v>0</v>
      </c>
      <c r="S288" s="7">
        <f>+[1]Consolidation!S288</f>
        <v>0</v>
      </c>
      <c r="T288" s="12">
        <f>+[1]Consolidation!T288</f>
        <v>0</v>
      </c>
    </row>
    <row r="289" spans="1:20" ht="19.2" customHeight="1" x14ac:dyDescent="0.3">
      <c r="A289" s="9" t="str">
        <f>+IF([1]Consolidation!A289=0,"",[1]Consolidation!A289)</f>
        <v/>
      </c>
      <c r="B289" s="7">
        <f>+[1]Consolidation!B289</f>
        <v>0</v>
      </c>
      <c r="C289" s="19">
        <f>+[1]Consolidation!C289</f>
        <v>0</v>
      </c>
      <c r="D289" s="20">
        <f>+[1]Consolidation!D289</f>
        <v>0</v>
      </c>
      <c r="E289" s="12">
        <f>+[1]Consolidation!E289</f>
        <v>0</v>
      </c>
      <c r="F289" s="7">
        <f>+[1]Consolidation!F289</f>
        <v>0</v>
      </c>
      <c r="G289" s="7"/>
      <c r="H289" s="7">
        <f>+[1]Consolidation!H289</f>
        <v>0</v>
      </c>
      <c r="I289" s="14">
        <f>+[1]Consolidation!I289</f>
        <v>0</v>
      </c>
      <c r="J289" s="14">
        <f>+[1]Consolidation!J289</f>
        <v>0</v>
      </c>
      <c r="K289" s="14">
        <f>+[1]Consolidation!K289</f>
        <v>0</v>
      </c>
      <c r="L289" s="14">
        <f>+[1]Consolidation!L289</f>
        <v>0</v>
      </c>
      <c r="M289" s="16">
        <f>+[1]Consolidation!M289</f>
        <v>0</v>
      </c>
      <c r="N289" s="14">
        <f>+[1]Consolidation!N289</f>
        <v>0</v>
      </c>
      <c r="O289" s="14">
        <f>+[1]Consolidation!O289</f>
        <v>0</v>
      </c>
      <c r="P289" s="14">
        <f>+[1]Consolidation!P289</f>
        <v>0</v>
      </c>
      <c r="Q289" s="7">
        <f>+[1]Consolidation!Q289</f>
        <v>0</v>
      </c>
      <c r="R289" s="14">
        <f>+[1]Consolidation!R289</f>
        <v>0</v>
      </c>
      <c r="S289" s="7">
        <f>+[1]Consolidation!S289</f>
        <v>0</v>
      </c>
      <c r="T289" s="12">
        <f>+[1]Consolidation!T289</f>
        <v>0</v>
      </c>
    </row>
    <row r="290" spans="1:20" ht="19.2" customHeight="1" x14ac:dyDescent="0.3">
      <c r="A290" s="9" t="str">
        <f>+IF([1]Consolidation!A290=0,"",[1]Consolidation!A290)</f>
        <v/>
      </c>
      <c r="B290" s="7">
        <f>+[1]Consolidation!B290</f>
        <v>0</v>
      </c>
      <c r="C290" s="19">
        <f>+[1]Consolidation!C290</f>
        <v>0</v>
      </c>
      <c r="D290" s="20">
        <f>+[1]Consolidation!D290</f>
        <v>0</v>
      </c>
      <c r="E290" s="12">
        <f>+[1]Consolidation!E290</f>
        <v>0</v>
      </c>
      <c r="F290" s="7">
        <f>+[1]Consolidation!F290</f>
        <v>0</v>
      </c>
      <c r="G290" s="7"/>
      <c r="H290" s="7">
        <f>+[1]Consolidation!H290</f>
        <v>0</v>
      </c>
      <c r="I290" s="14">
        <f>+[1]Consolidation!I290</f>
        <v>0</v>
      </c>
      <c r="J290" s="14">
        <f>+[1]Consolidation!J290</f>
        <v>0</v>
      </c>
      <c r="K290" s="14">
        <f>+[1]Consolidation!K290</f>
        <v>0</v>
      </c>
      <c r="L290" s="14">
        <f>+[1]Consolidation!L290</f>
        <v>0</v>
      </c>
      <c r="M290" s="16">
        <f>+[1]Consolidation!M290</f>
        <v>0</v>
      </c>
      <c r="N290" s="14">
        <f>+[1]Consolidation!N290</f>
        <v>0</v>
      </c>
      <c r="O290" s="14">
        <f>+[1]Consolidation!O290</f>
        <v>0</v>
      </c>
      <c r="P290" s="14">
        <f>+[1]Consolidation!P290</f>
        <v>0</v>
      </c>
      <c r="Q290" s="7">
        <f>+[1]Consolidation!Q290</f>
        <v>0</v>
      </c>
      <c r="R290" s="14">
        <f>+[1]Consolidation!R290</f>
        <v>0</v>
      </c>
      <c r="S290" s="7">
        <f>+[1]Consolidation!S290</f>
        <v>0</v>
      </c>
      <c r="T290" s="12">
        <f>+[1]Consolidation!T290</f>
        <v>0</v>
      </c>
    </row>
    <row r="291" spans="1:20" ht="19.2" customHeight="1" x14ac:dyDescent="0.3">
      <c r="A291" s="9" t="str">
        <f>+IF([1]Consolidation!A291=0,"",[1]Consolidation!A291)</f>
        <v/>
      </c>
      <c r="B291" s="7">
        <f>+[1]Consolidation!B291</f>
        <v>0</v>
      </c>
      <c r="C291" s="19">
        <f>+[1]Consolidation!C291</f>
        <v>0</v>
      </c>
      <c r="D291" s="20">
        <f>+[1]Consolidation!D291</f>
        <v>0</v>
      </c>
      <c r="E291" s="12">
        <f>+[1]Consolidation!E291</f>
        <v>0</v>
      </c>
      <c r="F291" s="7">
        <f>+[1]Consolidation!F291</f>
        <v>0</v>
      </c>
      <c r="G291" s="7"/>
      <c r="H291" s="7">
        <f>+[1]Consolidation!H291</f>
        <v>0</v>
      </c>
      <c r="I291" s="14">
        <f>+[1]Consolidation!I291</f>
        <v>0</v>
      </c>
      <c r="J291" s="14">
        <f>+[1]Consolidation!J291</f>
        <v>0</v>
      </c>
      <c r="K291" s="14">
        <f>+[1]Consolidation!K291</f>
        <v>0</v>
      </c>
      <c r="L291" s="14">
        <f>+[1]Consolidation!L291</f>
        <v>0</v>
      </c>
      <c r="M291" s="16">
        <f>+[1]Consolidation!M291</f>
        <v>0</v>
      </c>
      <c r="N291" s="14">
        <f>+[1]Consolidation!N291</f>
        <v>0</v>
      </c>
      <c r="O291" s="14">
        <f>+[1]Consolidation!O291</f>
        <v>0</v>
      </c>
      <c r="P291" s="14">
        <f>+[1]Consolidation!P291</f>
        <v>0</v>
      </c>
      <c r="Q291" s="7">
        <f>+[1]Consolidation!Q291</f>
        <v>0</v>
      </c>
      <c r="R291" s="14">
        <f>+[1]Consolidation!R291</f>
        <v>0</v>
      </c>
      <c r="S291" s="7">
        <f>+[1]Consolidation!S291</f>
        <v>0</v>
      </c>
      <c r="T291" s="12">
        <f>+[1]Consolidation!T291</f>
        <v>0</v>
      </c>
    </row>
    <row r="292" spans="1:20" ht="19.2" customHeight="1" x14ac:dyDescent="0.3">
      <c r="A292" s="9" t="str">
        <f>+IF([1]Consolidation!A292=0,"",[1]Consolidation!A292)</f>
        <v/>
      </c>
      <c r="B292" s="7">
        <f>+[1]Consolidation!B292</f>
        <v>0</v>
      </c>
      <c r="C292" s="19">
        <f>+[1]Consolidation!C292</f>
        <v>0</v>
      </c>
      <c r="D292" s="20">
        <f>+[1]Consolidation!D292</f>
        <v>0</v>
      </c>
      <c r="E292" s="12">
        <f>+[1]Consolidation!E292</f>
        <v>0</v>
      </c>
      <c r="F292" s="7">
        <f>+[1]Consolidation!F292</f>
        <v>0</v>
      </c>
      <c r="G292" s="7"/>
      <c r="H292" s="7">
        <f>+[1]Consolidation!H292</f>
        <v>0</v>
      </c>
      <c r="I292" s="14">
        <f>+[1]Consolidation!I292</f>
        <v>0</v>
      </c>
      <c r="J292" s="14">
        <f>+[1]Consolidation!J292</f>
        <v>0</v>
      </c>
      <c r="K292" s="14">
        <f>+[1]Consolidation!K292</f>
        <v>0</v>
      </c>
      <c r="L292" s="14">
        <f>+[1]Consolidation!L292</f>
        <v>0</v>
      </c>
      <c r="M292" s="16">
        <f>+[1]Consolidation!M292</f>
        <v>0</v>
      </c>
      <c r="N292" s="14">
        <f>+[1]Consolidation!N292</f>
        <v>0</v>
      </c>
      <c r="O292" s="14">
        <f>+[1]Consolidation!O292</f>
        <v>0</v>
      </c>
      <c r="P292" s="14">
        <f>+[1]Consolidation!P292</f>
        <v>0</v>
      </c>
      <c r="Q292" s="7">
        <f>+[1]Consolidation!Q292</f>
        <v>0</v>
      </c>
      <c r="R292" s="14">
        <f>+[1]Consolidation!R292</f>
        <v>0</v>
      </c>
      <c r="S292" s="7">
        <f>+[1]Consolidation!S292</f>
        <v>0</v>
      </c>
      <c r="T292" s="12">
        <f>+[1]Consolidation!T292</f>
        <v>0</v>
      </c>
    </row>
    <row r="293" spans="1:20" ht="19.2" customHeight="1" x14ac:dyDescent="0.3">
      <c r="A293" s="9" t="str">
        <f>+IF([1]Consolidation!A293=0,"",[1]Consolidation!A293)</f>
        <v/>
      </c>
      <c r="B293" s="7">
        <f>+[1]Consolidation!B293</f>
        <v>0</v>
      </c>
      <c r="C293" s="19">
        <f>+[1]Consolidation!C293</f>
        <v>0</v>
      </c>
      <c r="D293" s="20">
        <f>+[1]Consolidation!D293</f>
        <v>0</v>
      </c>
      <c r="E293" s="12">
        <f>+[1]Consolidation!E293</f>
        <v>0</v>
      </c>
      <c r="F293" s="7">
        <f>+[1]Consolidation!F293</f>
        <v>0</v>
      </c>
      <c r="G293" s="7"/>
      <c r="H293" s="7">
        <f>+[1]Consolidation!H293</f>
        <v>0</v>
      </c>
      <c r="I293" s="14">
        <f>+[1]Consolidation!I293</f>
        <v>0</v>
      </c>
      <c r="J293" s="14">
        <f>+[1]Consolidation!J293</f>
        <v>0</v>
      </c>
      <c r="K293" s="14">
        <f>+[1]Consolidation!K293</f>
        <v>0</v>
      </c>
      <c r="L293" s="14">
        <f>+[1]Consolidation!L293</f>
        <v>0</v>
      </c>
      <c r="M293" s="16">
        <f>+[1]Consolidation!M293</f>
        <v>0</v>
      </c>
      <c r="N293" s="14">
        <f>+[1]Consolidation!N293</f>
        <v>0</v>
      </c>
      <c r="O293" s="14">
        <f>+[1]Consolidation!O293</f>
        <v>0</v>
      </c>
      <c r="P293" s="14">
        <f>+[1]Consolidation!P293</f>
        <v>0</v>
      </c>
      <c r="Q293" s="7">
        <f>+[1]Consolidation!Q293</f>
        <v>0</v>
      </c>
      <c r="R293" s="14">
        <f>+[1]Consolidation!R293</f>
        <v>0</v>
      </c>
      <c r="S293" s="7">
        <f>+[1]Consolidation!S293</f>
        <v>0</v>
      </c>
      <c r="T293" s="12">
        <f>+[1]Consolidation!T293</f>
        <v>0</v>
      </c>
    </row>
    <row r="294" spans="1:20" ht="19.2" customHeight="1" x14ac:dyDescent="0.3">
      <c r="A294" s="9" t="str">
        <f>+IF([1]Consolidation!A294=0,"",[1]Consolidation!A294)</f>
        <v/>
      </c>
      <c r="B294" s="7">
        <f>+[1]Consolidation!B294</f>
        <v>0</v>
      </c>
      <c r="C294" s="19">
        <f>+[1]Consolidation!C294</f>
        <v>0</v>
      </c>
      <c r="D294" s="20">
        <f>+[1]Consolidation!D294</f>
        <v>0</v>
      </c>
      <c r="E294" s="12">
        <f>+[1]Consolidation!E294</f>
        <v>0</v>
      </c>
      <c r="F294" s="7">
        <f>+[1]Consolidation!F294</f>
        <v>0</v>
      </c>
      <c r="G294" s="7"/>
      <c r="H294" s="7">
        <f>+[1]Consolidation!H294</f>
        <v>0</v>
      </c>
      <c r="I294" s="14">
        <f>+[1]Consolidation!I294</f>
        <v>0</v>
      </c>
      <c r="J294" s="14">
        <f>+[1]Consolidation!J294</f>
        <v>0</v>
      </c>
      <c r="K294" s="14">
        <f>+[1]Consolidation!K294</f>
        <v>0</v>
      </c>
      <c r="L294" s="14">
        <f>+[1]Consolidation!L294</f>
        <v>0</v>
      </c>
      <c r="M294" s="16">
        <f>+[1]Consolidation!M294</f>
        <v>0</v>
      </c>
      <c r="N294" s="14">
        <f>+[1]Consolidation!N294</f>
        <v>0</v>
      </c>
      <c r="O294" s="14">
        <f>+[1]Consolidation!O294</f>
        <v>0</v>
      </c>
      <c r="P294" s="14">
        <f>+[1]Consolidation!P294</f>
        <v>0</v>
      </c>
      <c r="Q294" s="7">
        <f>+[1]Consolidation!Q294</f>
        <v>0</v>
      </c>
      <c r="R294" s="14">
        <f>+[1]Consolidation!R294</f>
        <v>0</v>
      </c>
      <c r="S294" s="7">
        <f>+[1]Consolidation!S294</f>
        <v>0</v>
      </c>
      <c r="T294" s="12">
        <f>+[1]Consolidation!T294</f>
        <v>0</v>
      </c>
    </row>
    <row r="295" spans="1:20" ht="19.2" customHeight="1" x14ac:dyDescent="0.3">
      <c r="A295" s="9" t="str">
        <f>+IF([1]Consolidation!A295=0,"",[1]Consolidation!A295)</f>
        <v/>
      </c>
      <c r="B295" s="7">
        <f>+[1]Consolidation!B295</f>
        <v>0</v>
      </c>
      <c r="C295" s="19">
        <f>+[1]Consolidation!C295</f>
        <v>0</v>
      </c>
      <c r="D295" s="20">
        <f>+[1]Consolidation!D295</f>
        <v>0</v>
      </c>
      <c r="E295" s="12">
        <f>+[1]Consolidation!E295</f>
        <v>0</v>
      </c>
      <c r="F295" s="7">
        <f>+[1]Consolidation!F295</f>
        <v>0</v>
      </c>
      <c r="G295" s="7"/>
      <c r="H295" s="7">
        <f>+[1]Consolidation!H295</f>
        <v>0</v>
      </c>
      <c r="I295" s="14">
        <f>+[1]Consolidation!I295</f>
        <v>0</v>
      </c>
      <c r="J295" s="14">
        <f>+[1]Consolidation!J295</f>
        <v>0</v>
      </c>
      <c r="K295" s="14">
        <f>+[1]Consolidation!K295</f>
        <v>0</v>
      </c>
      <c r="L295" s="14">
        <f>+[1]Consolidation!L295</f>
        <v>0</v>
      </c>
      <c r="M295" s="16">
        <f>+[1]Consolidation!M295</f>
        <v>0</v>
      </c>
      <c r="N295" s="14">
        <f>+[1]Consolidation!N295</f>
        <v>0</v>
      </c>
      <c r="O295" s="14">
        <f>+[1]Consolidation!O295</f>
        <v>0</v>
      </c>
      <c r="P295" s="14">
        <f>+[1]Consolidation!P295</f>
        <v>0</v>
      </c>
      <c r="Q295" s="7">
        <f>+[1]Consolidation!Q295</f>
        <v>0</v>
      </c>
      <c r="R295" s="14">
        <f>+[1]Consolidation!R295</f>
        <v>0</v>
      </c>
      <c r="S295" s="7">
        <f>+[1]Consolidation!S295</f>
        <v>0</v>
      </c>
      <c r="T295" s="12">
        <f>+[1]Consolidation!T295</f>
        <v>0</v>
      </c>
    </row>
    <row r="296" spans="1:20" ht="19.2" customHeight="1" x14ac:dyDescent="0.3">
      <c r="A296" s="9" t="str">
        <f>+IF([1]Consolidation!A296=0,"",[1]Consolidation!A296)</f>
        <v/>
      </c>
      <c r="B296" s="7">
        <f>+[1]Consolidation!B296</f>
        <v>0</v>
      </c>
      <c r="C296" s="19">
        <f>+[1]Consolidation!C296</f>
        <v>0</v>
      </c>
      <c r="D296" s="20">
        <f>+[1]Consolidation!D296</f>
        <v>0</v>
      </c>
      <c r="E296" s="12">
        <f>+[1]Consolidation!E296</f>
        <v>0</v>
      </c>
      <c r="F296" s="7">
        <f>+[1]Consolidation!F296</f>
        <v>0</v>
      </c>
      <c r="G296" s="7"/>
      <c r="H296" s="7">
        <f>+[1]Consolidation!H296</f>
        <v>0</v>
      </c>
      <c r="I296" s="14">
        <f>+[1]Consolidation!I296</f>
        <v>0</v>
      </c>
      <c r="J296" s="14">
        <f>+[1]Consolidation!J296</f>
        <v>0</v>
      </c>
      <c r="K296" s="14">
        <f>+[1]Consolidation!K296</f>
        <v>0</v>
      </c>
      <c r="L296" s="14">
        <f>+[1]Consolidation!L296</f>
        <v>0</v>
      </c>
      <c r="M296" s="16">
        <f>+[1]Consolidation!M296</f>
        <v>0</v>
      </c>
      <c r="N296" s="14">
        <f>+[1]Consolidation!N296</f>
        <v>0</v>
      </c>
      <c r="O296" s="14">
        <f>+[1]Consolidation!O296</f>
        <v>0</v>
      </c>
      <c r="P296" s="14">
        <f>+[1]Consolidation!P296</f>
        <v>0</v>
      </c>
      <c r="Q296" s="7">
        <f>+[1]Consolidation!Q296</f>
        <v>0</v>
      </c>
      <c r="R296" s="14">
        <f>+[1]Consolidation!R296</f>
        <v>0</v>
      </c>
      <c r="S296" s="7">
        <f>+[1]Consolidation!S296</f>
        <v>0</v>
      </c>
      <c r="T296" s="12">
        <f>+[1]Consolidation!T296</f>
        <v>0</v>
      </c>
    </row>
  </sheetData>
  <conditionalFormatting sqref="E72">
    <cfRule type="duplicateValues" dxfId="8" priority="9"/>
  </conditionalFormatting>
  <conditionalFormatting sqref="E73">
    <cfRule type="duplicateValues" dxfId="7" priority="8"/>
  </conditionalFormatting>
  <conditionalFormatting sqref="E74:E76">
    <cfRule type="duplicateValues" dxfId="6" priority="7"/>
  </conditionalFormatting>
  <conditionalFormatting sqref="E77">
    <cfRule type="duplicateValues" dxfId="5" priority="6"/>
  </conditionalFormatting>
  <conditionalFormatting sqref="E87">
    <cfRule type="duplicateValues" dxfId="4" priority="5"/>
  </conditionalFormatting>
  <conditionalFormatting sqref="E88:E91">
    <cfRule type="duplicateValues" dxfId="3" priority="4"/>
  </conditionalFormatting>
  <conditionalFormatting sqref="E117">
    <cfRule type="duplicateValues" dxfId="2" priority="3"/>
  </conditionalFormatting>
  <conditionalFormatting sqref="E118:E122">
    <cfRule type="duplicateValues" dxfId="1" priority="2"/>
  </conditionalFormatting>
  <conditionalFormatting sqref="E123">
    <cfRule type="duplicateValues" dxfId="0" priority="1"/>
  </conditionalFormatting>
  <pageMargins left="0.7" right="0.7" top="0.75" bottom="0.75" header="0.3" footer="0.3"/>
  <headerFooter>
    <oddFooter>&amp;C_x000D_&amp;1#&amp;"Aptos"&amp;10&amp;K000000 •• PROTECTED 関係者外秘 PROTÉGÉ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4088-04E8-4068-A4E7-FFDD5BD39FF3}">
  <dimension ref="A2:B66"/>
  <sheetViews>
    <sheetView topLeftCell="A50" workbookViewId="0">
      <selection activeCell="H69" sqref="H69"/>
    </sheetView>
  </sheetViews>
  <sheetFormatPr defaultRowHeight="14.4" x14ac:dyDescent="0.3"/>
  <cols>
    <col min="1" max="1" width="29.21875" customWidth="1"/>
    <col min="2" max="2" width="27.109375" customWidth="1"/>
  </cols>
  <sheetData>
    <row r="2" spans="1:2" x14ac:dyDescent="0.3">
      <c r="A2" s="24" t="s">
        <v>1</v>
      </c>
      <c r="B2" s="24" t="s">
        <v>98</v>
      </c>
    </row>
    <row r="3" spans="1:2" x14ac:dyDescent="0.3">
      <c r="A3" s="24" t="s">
        <v>18</v>
      </c>
      <c r="B3" s="24" t="s">
        <v>99</v>
      </c>
    </row>
    <row r="4" spans="1:2" x14ac:dyDescent="0.3">
      <c r="A4" s="24" t="s">
        <v>20</v>
      </c>
      <c r="B4" s="24" t="s">
        <v>100</v>
      </c>
    </row>
    <row r="5" spans="1:2" x14ac:dyDescent="0.3">
      <c r="A5" s="24" t="s">
        <v>21</v>
      </c>
      <c r="B5" s="24" t="s">
        <v>100</v>
      </c>
    </row>
    <row r="6" spans="1:2" x14ac:dyDescent="0.3">
      <c r="A6" s="24" t="s">
        <v>24</v>
      </c>
      <c r="B6" s="24" t="s">
        <v>99</v>
      </c>
    </row>
    <row r="7" spans="1:2" x14ac:dyDescent="0.3">
      <c r="A7" s="24" t="s">
        <v>101</v>
      </c>
      <c r="B7" s="24" t="s">
        <v>100</v>
      </c>
    </row>
    <row r="8" spans="1:2" x14ac:dyDescent="0.3">
      <c r="A8" s="24" t="s">
        <v>26</v>
      </c>
      <c r="B8" s="24" t="s">
        <v>102</v>
      </c>
    </row>
    <row r="9" spans="1:2" x14ac:dyDescent="0.3">
      <c r="A9" s="24" t="s">
        <v>28</v>
      </c>
      <c r="B9" s="24" t="s">
        <v>100</v>
      </c>
    </row>
    <row r="10" spans="1:2" x14ac:dyDescent="0.3">
      <c r="A10" s="24" t="s">
        <v>30</v>
      </c>
      <c r="B10" s="24" t="s">
        <v>98</v>
      </c>
    </row>
    <row r="11" spans="1:2" x14ac:dyDescent="0.3">
      <c r="A11" s="24" t="s">
        <v>31</v>
      </c>
      <c r="B11" s="24" t="s">
        <v>99</v>
      </c>
    </row>
    <row r="12" spans="1:2" x14ac:dyDescent="0.3">
      <c r="A12" s="24" t="s">
        <v>32</v>
      </c>
      <c r="B12" s="24" t="s">
        <v>102</v>
      </c>
    </row>
    <row r="13" spans="1:2" x14ac:dyDescent="0.3">
      <c r="A13" s="24" t="s">
        <v>33</v>
      </c>
      <c r="B13" s="24" t="s">
        <v>99</v>
      </c>
    </row>
    <row r="14" spans="1:2" x14ac:dyDescent="0.3">
      <c r="A14" s="24" t="s">
        <v>34</v>
      </c>
      <c r="B14" s="24" t="s">
        <v>102</v>
      </c>
    </row>
    <row r="15" spans="1:2" x14ac:dyDescent="0.3">
      <c r="A15" s="24" t="s">
        <v>35</v>
      </c>
      <c r="B15" s="24" t="s">
        <v>103</v>
      </c>
    </row>
    <row r="16" spans="1:2" x14ac:dyDescent="0.3">
      <c r="A16" s="24" t="s">
        <v>36</v>
      </c>
      <c r="B16" s="24" t="s">
        <v>102</v>
      </c>
    </row>
    <row r="17" spans="1:2" x14ac:dyDescent="0.3">
      <c r="A17" s="24" t="s">
        <v>37</v>
      </c>
      <c r="B17" s="24" t="s">
        <v>100</v>
      </c>
    </row>
    <row r="18" spans="1:2" x14ac:dyDescent="0.3">
      <c r="A18" s="24" t="s">
        <v>38</v>
      </c>
      <c r="B18" s="24" t="s">
        <v>103</v>
      </c>
    </row>
    <row r="19" spans="1:2" x14ac:dyDescent="0.3">
      <c r="A19" s="24" t="s">
        <v>39</v>
      </c>
      <c r="B19" s="24" t="s">
        <v>100</v>
      </c>
    </row>
    <row r="20" spans="1:2" x14ac:dyDescent="0.3">
      <c r="A20" s="24" t="s">
        <v>40</v>
      </c>
      <c r="B20" s="24" t="s">
        <v>102</v>
      </c>
    </row>
    <row r="21" spans="1:2" x14ac:dyDescent="0.3">
      <c r="A21" s="24" t="s">
        <v>42</v>
      </c>
      <c r="B21" s="24" t="s">
        <v>99</v>
      </c>
    </row>
    <row r="22" spans="1:2" x14ac:dyDescent="0.3">
      <c r="A22" s="24" t="s">
        <v>44</v>
      </c>
      <c r="B22" s="24" t="s">
        <v>98</v>
      </c>
    </row>
    <row r="23" spans="1:2" x14ac:dyDescent="0.3">
      <c r="A23" s="24" t="s">
        <v>46</v>
      </c>
      <c r="B23" s="24" t="s">
        <v>99</v>
      </c>
    </row>
    <row r="24" spans="1:2" x14ac:dyDescent="0.3">
      <c r="A24" s="24" t="s">
        <v>47</v>
      </c>
      <c r="B24" s="24" t="s">
        <v>100</v>
      </c>
    </row>
    <row r="25" spans="1:2" x14ac:dyDescent="0.3">
      <c r="A25" s="24" t="s">
        <v>49</v>
      </c>
      <c r="B25" s="24" t="s">
        <v>100</v>
      </c>
    </row>
    <row r="26" spans="1:2" x14ac:dyDescent="0.3">
      <c r="A26" s="24" t="s">
        <v>51</v>
      </c>
      <c r="B26" s="24" t="s">
        <v>98</v>
      </c>
    </row>
    <row r="27" spans="1:2" ht="28.8" x14ac:dyDescent="0.3">
      <c r="A27" s="24" t="s">
        <v>53</v>
      </c>
      <c r="B27" s="24" t="s">
        <v>100</v>
      </c>
    </row>
    <row r="28" spans="1:2" x14ac:dyDescent="0.3">
      <c r="A28" s="24" t="s">
        <v>54</v>
      </c>
      <c r="B28" s="24" t="s">
        <v>100</v>
      </c>
    </row>
    <row r="29" spans="1:2" x14ac:dyDescent="0.3">
      <c r="A29" s="24" t="s">
        <v>55</v>
      </c>
      <c r="B29" s="24" t="s">
        <v>98</v>
      </c>
    </row>
    <row r="30" spans="1:2" x14ac:dyDescent="0.3">
      <c r="A30" s="24" t="s">
        <v>57</v>
      </c>
      <c r="B30" s="24" t="s">
        <v>100</v>
      </c>
    </row>
    <row r="31" spans="1:2" x14ac:dyDescent="0.3">
      <c r="A31" s="24" t="s">
        <v>58</v>
      </c>
      <c r="B31" s="24" t="s">
        <v>99</v>
      </c>
    </row>
    <row r="32" spans="1:2" x14ac:dyDescent="0.3">
      <c r="A32" s="24" t="s">
        <v>59</v>
      </c>
      <c r="B32" s="24" t="s">
        <v>102</v>
      </c>
    </row>
    <row r="33" spans="1:2" x14ac:dyDescent="0.3">
      <c r="A33" s="24" t="s">
        <v>60</v>
      </c>
      <c r="B33" s="24" t="s">
        <v>100</v>
      </c>
    </row>
    <row r="34" spans="1:2" x14ac:dyDescent="0.3">
      <c r="A34" s="24" t="s">
        <v>62</v>
      </c>
      <c r="B34" s="24" t="s">
        <v>102</v>
      </c>
    </row>
    <row r="35" spans="1:2" x14ac:dyDescent="0.3">
      <c r="A35" s="24" t="s">
        <v>64</v>
      </c>
      <c r="B35" s="24" t="s">
        <v>100</v>
      </c>
    </row>
    <row r="36" spans="1:2" x14ac:dyDescent="0.3">
      <c r="A36" s="24" t="s">
        <v>65</v>
      </c>
      <c r="B36" s="24" t="s">
        <v>102</v>
      </c>
    </row>
    <row r="37" spans="1:2" x14ac:dyDescent="0.3">
      <c r="A37" s="24" t="s">
        <v>66</v>
      </c>
      <c r="B37" s="24" t="s">
        <v>102</v>
      </c>
    </row>
    <row r="38" spans="1:2" x14ac:dyDescent="0.3">
      <c r="A38" s="24" t="s">
        <v>67</v>
      </c>
      <c r="B38" s="24" t="s">
        <v>104</v>
      </c>
    </row>
    <row r="39" spans="1:2" x14ac:dyDescent="0.3">
      <c r="A39" s="24" t="s">
        <v>68</v>
      </c>
      <c r="B39" s="24" t="s">
        <v>98</v>
      </c>
    </row>
    <row r="40" spans="1:2" x14ac:dyDescent="0.3">
      <c r="A40" s="24" t="s">
        <v>69</v>
      </c>
      <c r="B40" s="24" t="s">
        <v>104</v>
      </c>
    </row>
    <row r="41" spans="1:2" x14ac:dyDescent="0.3">
      <c r="A41" s="24" t="s">
        <v>70</v>
      </c>
      <c r="B41" s="24" t="s">
        <v>100</v>
      </c>
    </row>
    <row r="42" spans="1:2" x14ac:dyDescent="0.3">
      <c r="A42" s="24" t="s">
        <v>71</v>
      </c>
      <c r="B42" s="24" t="s">
        <v>99</v>
      </c>
    </row>
    <row r="43" spans="1:2" x14ac:dyDescent="0.3">
      <c r="A43" s="24" t="s">
        <v>73</v>
      </c>
      <c r="B43" s="24" t="s">
        <v>99</v>
      </c>
    </row>
    <row r="44" spans="1:2" x14ac:dyDescent="0.3">
      <c r="A44" s="24" t="s">
        <v>105</v>
      </c>
      <c r="B44" s="24" t="s">
        <v>98</v>
      </c>
    </row>
    <row r="45" spans="1:2" x14ac:dyDescent="0.3">
      <c r="A45" s="24" t="s">
        <v>75</v>
      </c>
      <c r="B45" s="24" t="s">
        <v>100</v>
      </c>
    </row>
    <row r="46" spans="1:2" x14ac:dyDescent="0.3">
      <c r="A46" s="24" t="s">
        <v>78</v>
      </c>
      <c r="B46" s="24" t="s">
        <v>102</v>
      </c>
    </row>
    <row r="47" spans="1:2" x14ac:dyDescent="0.3">
      <c r="A47" s="24" t="s">
        <v>79</v>
      </c>
      <c r="B47" s="24" t="s">
        <v>99</v>
      </c>
    </row>
    <row r="48" spans="1:2" x14ac:dyDescent="0.3">
      <c r="A48" s="24" t="s">
        <v>80</v>
      </c>
      <c r="B48" s="24" t="s">
        <v>98</v>
      </c>
    </row>
    <row r="49" spans="1:2" x14ac:dyDescent="0.3">
      <c r="A49" s="24" t="s">
        <v>81</v>
      </c>
      <c r="B49" s="24" t="s">
        <v>98</v>
      </c>
    </row>
    <row r="50" spans="1:2" x14ac:dyDescent="0.3">
      <c r="A50" s="24" t="s">
        <v>82</v>
      </c>
      <c r="B50" s="24" t="s">
        <v>104</v>
      </c>
    </row>
    <row r="51" spans="1:2" x14ac:dyDescent="0.3">
      <c r="A51" s="24" t="s">
        <v>83</v>
      </c>
      <c r="B51" s="24" t="s">
        <v>99</v>
      </c>
    </row>
    <row r="52" spans="1:2" x14ac:dyDescent="0.3">
      <c r="A52" s="24" t="s">
        <v>84</v>
      </c>
      <c r="B52" s="24" t="s">
        <v>104</v>
      </c>
    </row>
    <row r="53" spans="1:2" x14ac:dyDescent="0.3">
      <c r="A53" s="24" t="s">
        <v>85</v>
      </c>
      <c r="B53" s="24" t="s">
        <v>103</v>
      </c>
    </row>
    <row r="54" spans="1:2" x14ac:dyDescent="0.3">
      <c r="A54" s="24" t="s">
        <v>86</v>
      </c>
      <c r="B54" s="24" t="s">
        <v>98</v>
      </c>
    </row>
    <row r="55" spans="1:2" x14ac:dyDescent="0.3">
      <c r="A55" s="24" t="s">
        <v>87</v>
      </c>
      <c r="B55" s="24" t="s">
        <v>99</v>
      </c>
    </row>
    <row r="56" spans="1:2" x14ac:dyDescent="0.3">
      <c r="A56" s="24" t="s">
        <v>106</v>
      </c>
      <c r="B56" s="24" t="s">
        <v>104</v>
      </c>
    </row>
    <row r="57" spans="1:2" x14ac:dyDescent="0.3">
      <c r="A57" s="24" t="s">
        <v>89</v>
      </c>
      <c r="B57" s="24" t="s">
        <v>100</v>
      </c>
    </row>
    <row r="58" spans="1:2" x14ac:dyDescent="0.3">
      <c r="A58" s="24" t="s">
        <v>91</v>
      </c>
      <c r="B58" s="24" t="s">
        <v>99</v>
      </c>
    </row>
    <row r="59" spans="1:2" x14ac:dyDescent="0.3">
      <c r="A59" s="24" t="s">
        <v>92</v>
      </c>
      <c r="B59" s="24" t="s">
        <v>92</v>
      </c>
    </row>
    <row r="60" spans="1:2" x14ac:dyDescent="0.3">
      <c r="A60" s="24" t="s">
        <v>93</v>
      </c>
      <c r="B60" s="24" t="s">
        <v>104</v>
      </c>
    </row>
    <row r="61" spans="1:2" x14ac:dyDescent="0.3">
      <c r="A61" s="24" t="s">
        <v>90</v>
      </c>
      <c r="B61" s="24" t="s">
        <v>98</v>
      </c>
    </row>
    <row r="62" spans="1:2" x14ac:dyDescent="0.3">
      <c r="A62" s="7" t="s">
        <v>25</v>
      </c>
      <c r="B62" s="24" t="s">
        <v>100</v>
      </c>
    </row>
    <row r="63" spans="1:2" x14ac:dyDescent="0.3">
      <c r="A63" t="s">
        <v>74</v>
      </c>
      <c r="B63" s="24" t="s">
        <v>100</v>
      </c>
    </row>
    <row r="64" spans="1:2" x14ac:dyDescent="0.3">
      <c r="A64" t="s">
        <v>88</v>
      </c>
      <c r="B64" s="24" t="s">
        <v>104</v>
      </c>
    </row>
    <row r="65" spans="1:2" x14ac:dyDescent="0.3">
      <c r="A65" t="s">
        <v>119</v>
      </c>
      <c r="B65" s="24" t="s">
        <v>92</v>
      </c>
    </row>
    <row r="66" spans="1:2" x14ac:dyDescent="0.3">
      <c r="A66" t="s">
        <v>120</v>
      </c>
      <c r="B66" s="24" t="s">
        <v>100</v>
      </c>
    </row>
  </sheetData>
  <pageMargins left="0.7" right="0.7" top="0.75" bottom="0.75" header="0.3" footer="0.3"/>
  <headerFooter>
    <oddFooter>&amp;C_x000D_&amp;1#&amp;"Aptos"&amp;10&amp;K000000 •• PROTECTED 関係者外秘 PROTÉGÉ</oddFooter>
  </headerFooter>
</worksheet>
</file>

<file path=docMetadata/LabelInfo.xml><?xml version="1.0" encoding="utf-8"?>
<clbl:labelList xmlns:clbl="http://schemas.microsoft.com/office/2020/mipLabelMetadata">
  <clbl:label id="{fcec5505-8291-4cd2-be3c-852f3a7697ca}" enabled="1" method="Standard" siteId="{8c642d1d-d709-47b0-ab10-080af10798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Fletcher (TCI)</dc:creator>
  <cp:lastModifiedBy>Javier Fletcher (TCI)</cp:lastModifiedBy>
  <dcterms:created xsi:type="dcterms:W3CDTF">2026-03-25T19:13:05Z</dcterms:created>
  <dcterms:modified xsi:type="dcterms:W3CDTF">2026-04-01T17:11:03Z</dcterms:modified>
</cp:coreProperties>
</file>