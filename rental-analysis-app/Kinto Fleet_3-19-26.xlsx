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letchj\VS Studio\rental-analysis-app\"/>
    </mc:Choice>
  </mc:AlternateContent>
  <xr:revisionPtr revIDLastSave="0" documentId="13_ncr:1_{4D4C1047-1514-4FEC-B498-419B54B5D673}" xr6:coauthVersionLast="47" xr6:coauthVersionMax="47" xr10:uidLastSave="{00000000-0000-0000-0000-000000000000}"/>
  <bookViews>
    <workbookView xWindow="-22050" yWindow="-17520" windowWidth="19140" windowHeight="13680" firstSheet="1" activeTab="1" xr2:uid="{1CF60188-9169-40FA-8003-611196E33864}"/>
  </bookViews>
  <sheets>
    <sheet name="Dep TCCI" sheetId="2" state="hidden" r:id="rId1"/>
    <sheet name="data" sheetId="1" r:id="rId2"/>
  </sheets>
  <externalReferences>
    <externalReference r:id="rId3"/>
  </externalReferences>
  <definedNames>
    <definedName name="_xlnm._FilterDatabase" localSheetId="1" hidden="1">data!$A$1:$Q$84</definedName>
    <definedName name="_xlnm._FilterDatabase" localSheetId="0" hidden="1">'Dep TCCI'!$I$2:$I$117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Q21" i="1" s="1"/>
  <c r="O20" i="1"/>
  <c r="Q20" i="1" s="1"/>
  <c r="O19" i="1"/>
  <c r="Q19" i="1" s="1"/>
  <c r="O18" i="1"/>
  <c r="Q18" i="1" s="1"/>
  <c r="O17" i="1"/>
  <c r="Q17" i="1" s="1"/>
  <c r="O58" i="1"/>
  <c r="O54" i="1"/>
  <c r="O50" i="1"/>
  <c r="O49" i="1"/>
  <c r="O46" i="1"/>
  <c r="O45" i="1"/>
  <c r="O44" i="1"/>
  <c r="O43" i="1"/>
  <c r="O40" i="1"/>
  <c r="S117" i="2"/>
  <c r="R117" i="2"/>
  <c r="Q117" i="2"/>
  <c r="K117" i="2"/>
  <c r="J117" i="2"/>
  <c r="AA117" i="2" s="1"/>
  <c r="S116" i="2"/>
  <c r="R116" i="2"/>
  <c r="Q116" i="2"/>
  <c r="Z116" i="2" s="1"/>
  <c r="K116" i="2"/>
  <c r="J116" i="2"/>
  <c r="AA116" i="2" s="1"/>
  <c r="S113" i="2"/>
  <c r="R113" i="2"/>
  <c r="O113" i="2"/>
  <c r="Q113" i="2" s="1"/>
  <c r="K113" i="2"/>
  <c r="J113" i="2"/>
  <c r="AA113" i="2" s="1"/>
  <c r="S112" i="2"/>
  <c r="R112" i="2"/>
  <c r="O112" i="2"/>
  <c r="Q112" i="2" s="1"/>
  <c r="K112" i="2"/>
  <c r="J112" i="2"/>
  <c r="AA112" i="2" s="1"/>
  <c r="S111" i="2"/>
  <c r="R111" i="2"/>
  <c r="O111" i="2"/>
  <c r="Q111" i="2" s="1"/>
  <c r="K111" i="2"/>
  <c r="J111" i="2"/>
  <c r="AA111" i="2" s="1"/>
  <c r="S110" i="2"/>
  <c r="R110" i="2"/>
  <c r="O110" i="2"/>
  <c r="Q110" i="2" s="1"/>
  <c r="K110" i="2"/>
  <c r="J110" i="2"/>
  <c r="AA110" i="2" s="1"/>
  <c r="S109" i="2"/>
  <c r="R109" i="2"/>
  <c r="O109" i="2"/>
  <c r="Q109" i="2" s="1"/>
  <c r="K109" i="2"/>
  <c r="J109" i="2"/>
  <c r="AA109" i="2" s="1"/>
  <c r="S107" i="2"/>
  <c r="R107" i="2"/>
  <c r="Q107" i="2"/>
  <c r="V107" i="2" s="1"/>
  <c r="W107" i="2" s="1"/>
  <c r="K107" i="2"/>
  <c r="J107" i="2"/>
  <c r="AA107" i="2" s="1"/>
  <c r="S104" i="2"/>
  <c r="R104" i="2"/>
  <c r="O104" i="2"/>
  <c r="Q104" i="2" s="1"/>
  <c r="K104" i="2"/>
  <c r="J104" i="2"/>
  <c r="O68" i="1" s="1"/>
  <c r="S103" i="2"/>
  <c r="R103" i="2"/>
  <c r="O103" i="2"/>
  <c r="Q103" i="2" s="1"/>
  <c r="K103" i="2"/>
  <c r="J103" i="2"/>
  <c r="O67" i="1" s="1"/>
  <c r="S102" i="2"/>
  <c r="R102" i="2"/>
  <c r="O102" i="2"/>
  <c r="Q102" i="2" s="1"/>
  <c r="K102" i="2"/>
  <c r="J102" i="2"/>
  <c r="O66" i="1" s="1"/>
  <c r="S101" i="2"/>
  <c r="R101" i="2"/>
  <c r="O101" i="2"/>
  <c r="Q101" i="2" s="1"/>
  <c r="K101" i="2"/>
  <c r="J101" i="2"/>
  <c r="O65" i="1" s="1"/>
  <c r="S100" i="2"/>
  <c r="R100" i="2"/>
  <c r="O100" i="2"/>
  <c r="Q100" i="2" s="1"/>
  <c r="K100" i="2"/>
  <c r="J100" i="2"/>
  <c r="O64" i="1" s="1"/>
  <c r="S99" i="2"/>
  <c r="R99" i="2"/>
  <c r="O99" i="2"/>
  <c r="Q99" i="2" s="1"/>
  <c r="K99" i="2"/>
  <c r="J99" i="2"/>
  <c r="S98" i="2"/>
  <c r="R98" i="2"/>
  <c r="O98" i="2"/>
  <c r="Q98" i="2" s="1"/>
  <c r="K98" i="2"/>
  <c r="J98" i="2"/>
  <c r="O62" i="1" s="1"/>
  <c r="S97" i="2"/>
  <c r="R97" i="2"/>
  <c r="O97" i="2"/>
  <c r="Q97" i="2" s="1"/>
  <c r="K97" i="2"/>
  <c r="J97" i="2"/>
  <c r="S96" i="2"/>
  <c r="R96" i="2"/>
  <c r="O96" i="2"/>
  <c r="Q96" i="2" s="1"/>
  <c r="K96" i="2"/>
  <c r="J96" i="2"/>
  <c r="O60" i="1" s="1"/>
  <c r="S95" i="2"/>
  <c r="R95" i="2"/>
  <c r="O95" i="2"/>
  <c r="Q95" i="2" s="1"/>
  <c r="K95" i="2"/>
  <c r="J95" i="2"/>
  <c r="O59" i="1" s="1"/>
  <c r="S94" i="2"/>
  <c r="R94" i="2"/>
  <c r="O94" i="2"/>
  <c r="Q94" i="2" s="1"/>
  <c r="K94" i="2"/>
  <c r="J94" i="2"/>
  <c r="S93" i="2"/>
  <c r="R93" i="2"/>
  <c r="O93" i="2"/>
  <c r="Q93" i="2" s="1"/>
  <c r="K93" i="2"/>
  <c r="J93" i="2"/>
  <c r="S92" i="2"/>
  <c r="R92" i="2"/>
  <c r="O92" i="2"/>
  <c r="Q92" i="2" s="1"/>
  <c r="K92" i="2"/>
  <c r="J92" i="2"/>
  <c r="S91" i="2"/>
  <c r="R91" i="2"/>
  <c r="O91" i="2"/>
  <c r="Q91" i="2" s="1"/>
  <c r="K91" i="2"/>
  <c r="J91" i="2"/>
  <c r="O55" i="1" s="1"/>
  <c r="S90" i="2"/>
  <c r="R90" i="2"/>
  <c r="O90" i="2"/>
  <c r="Q90" i="2" s="1"/>
  <c r="K90" i="2"/>
  <c r="J90" i="2"/>
  <c r="S89" i="2"/>
  <c r="R89" i="2"/>
  <c r="O89" i="2"/>
  <c r="Q89" i="2" s="1"/>
  <c r="K89" i="2"/>
  <c r="J89" i="2"/>
  <c r="S88" i="2"/>
  <c r="R88" i="2"/>
  <c r="O88" i="2"/>
  <c r="Q88" i="2" s="1"/>
  <c r="K88" i="2"/>
  <c r="J88" i="2"/>
  <c r="S87" i="2"/>
  <c r="R87" i="2"/>
  <c r="O87" i="2"/>
  <c r="Q87" i="2" s="1"/>
  <c r="K87" i="2"/>
  <c r="J87" i="2"/>
  <c r="O51" i="1" s="1"/>
  <c r="S86" i="2"/>
  <c r="R86" i="2"/>
  <c r="O86" i="2"/>
  <c r="Q86" i="2" s="1"/>
  <c r="K86" i="2"/>
  <c r="J86" i="2"/>
  <c r="S85" i="2"/>
  <c r="R85" i="2"/>
  <c r="O85" i="2"/>
  <c r="Q85" i="2" s="1"/>
  <c r="K85" i="2"/>
  <c r="J85" i="2"/>
  <c r="S84" i="2"/>
  <c r="R84" i="2"/>
  <c r="O84" i="2"/>
  <c r="Q84" i="2" s="1"/>
  <c r="K84" i="2"/>
  <c r="J84" i="2"/>
  <c r="S83" i="2"/>
  <c r="R83" i="2"/>
  <c r="O83" i="2"/>
  <c r="Q83" i="2" s="1"/>
  <c r="Z83" i="2" s="1"/>
  <c r="K83" i="2"/>
  <c r="J83" i="2"/>
  <c r="AA83" i="2" s="1"/>
  <c r="S82" i="2"/>
  <c r="R82" i="2"/>
  <c r="O82" i="2"/>
  <c r="Q82" i="2" s="1"/>
  <c r="K82" i="2"/>
  <c r="J82" i="2"/>
  <c r="S81" i="2"/>
  <c r="R81" i="2"/>
  <c r="O81" i="2"/>
  <c r="Q81" i="2" s="1"/>
  <c r="K81" i="2"/>
  <c r="J81" i="2"/>
  <c r="S80" i="2"/>
  <c r="R80" i="2"/>
  <c r="O80" i="2"/>
  <c r="Q80" i="2" s="1"/>
  <c r="K80" i="2"/>
  <c r="J80" i="2"/>
  <c r="S79" i="2"/>
  <c r="R79" i="2"/>
  <c r="O79" i="2"/>
  <c r="Q79" i="2" s="1"/>
  <c r="Z79" i="2" s="1"/>
  <c r="K79" i="2"/>
  <c r="J79" i="2"/>
  <c r="S78" i="2"/>
  <c r="R78" i="2"/>
  <c r="O78" i="2"/>
  <c r="Q78" i="2" s="1"/>
  <c r="K78" i="2"/>
  <c r="J78" i="2"/>
  <c r="S75" i="2"/>
  <c r="R75" i="2"/>
  <c r="Q75" i="2"/>
  <c r="V75" i="2" s="1"/>
  <c r="K75" i="2"/>
  <c r="J75" i="2"/>
  <c r="AA75" i="2" s="1"/>
  <c r="S74" i="2"/>
  <c r="R74" i="2"/>
  <c r="Q74" i="2"/>
  <c r="Z74" i="2" s="1"/>
  <c r="K74" i="2"/>
  <c r="J74" i="2"/>
  <c r="AA74" i="2" s="1"/>
  <c r="AB74" i="2" s="1"/>
  <c r="AC74" i="2" s="1"/>
  <c r="S73" i="2"/>
  <c r="R73" i="2"/>
  <c r="Q73" i="2"/>
  <c r="Z73" i="2" s="1"/>
  <c r="K73" i="2"/>
  <c r="J73" i="2"/>
  <c r="AA73" i="2" s="1"/>
  <c r="S70" i="2"/>
  <c r="R70" i="2"/>
  <c r="Q70" i="2"/>
  <c r="Z70" i="2" s="1"/>
  <c r="K70" i="2"/>
  <c r="J70" i="2"/>
  <c r="AA70" i="2" s="1"/>
  <c r="AB70" i="2" s="1"/>
  <c r="S69" i="2"/>
  <c r="R69" i="2"/>
  <c r="Q69" i="2"/>
  <c r="Z69" i="2" s="1"/>
  <c r="K69" i="2"/>
  <c r="J69" i="2"/>
  <c r="AA69" i="2" s="1"/>
  <c r="S68" i="2"/>
  <c r="R68" i="2"/>
  <c r="Q68" i="2"/>
  <c r="Z68" i="2" s="1"/>
  <c r="K68" i="2"/>
  <c r="J68" i="2"/>
  <c r="AA68" i="2" s="1"/>
  <c r="AB68" i="2" s="1"/>
  <c r="S67" i="2"/>
  <c r="R67" i="2"/>
  <c r="Q67" i="2"/>
  <c r="Z67" i="2" s="1"/>
  <c r="K67" i="2"/>
  <c r="J67" i="2"/>
  <c r="AA67" i="2" s="1"/>
  <c r="S66" i="2"/>
  <c r="R66" i="2"/>
  <c r="Q66" i="2"/>
  <c r="Z66" i="2" s="1"/>
  <c r="K66" i="2"/>
  <c r="J66" i="2"/>
  <c r="AA66" i="2" s="1"/>
  <c r="AB66" i="2" s="1"/>
  <c r="AC66" i="2" s="1"/>
  <c r="S65" i="2"/>
  <c r="R65" i="2"/>
  <c r="Q65" i="2"/>
  <c r="V65" i="2" s="1"/>
  <c r="W65" i="2" s="1"/>
  <c r="K65" i="2"/>
  <c r="J65" i="2"/>
  <c r="AA65" i="2" s="1"/>
  <c r="S62" i="2"/>
  <c r="R62" i="2"/>
  <c r="O62" i="2"/>
  <c r="Q62" i="2" s="1"/>
  <c r="K62" i="2"/>
  <c r="J62" i="2"/>
  <c r="AA62" i="2" s="1"/>
  <c r="S61" i="2"/>
  <c r="R61" i="2"/>
  <c r="Q61" i="2"/>
  <c r="Z61" i="2" s="1"/>
  <c r="K61" i="2"/>
  <c r="J61" i="2"/>
  <c r="AA61" i="2" s="1"/>
  <c r="S60" i="2"/>
  <c r="R60" i="2"/>
  <c r="Q60" i="2"/>
  <c r="Z60" i="2" s="1"/>
  <c r="K60" i="2"/>
  <c r="J60" i="2"/>
  <c r="AA60" i="2" s="1"/>
  <c r="AB60" i="2" s="1"/>
  <c r="S59" i="2"/>
  <c r="R59" i="2"/>
  <c r="Q59" i="2"/>
  <c r="Z59" i="2" s="1"/>
  <c r="K59" i="2"/>
  <c r="J59" i="2"/>
  <c r="AA59" i="2" s="1"/>
  <c r="L56" i="2"/>
  <c r="L57" i="2" a="1"/>
  <c r="L57" i="2" s="1"/>
  <c r="X57" i="2"/>
  <c r="S53" i="2"/>
  <c r="R53" i="2"/>
  <c r="O53" i="2"/>
  <c r="Q53" i="2" s="1"/>
  <c r="K53" i="2"/>
  <c r="J53" i="2"/>
  <c r="F53" i="2"/>
  <c r="C53" i="2"/>
  <c r="S51" i="2"/>
  <c r="R51" i="2"/>
  <c r="O51" i="2"/>
  <c r="Q51" i="2" s="1"/>
  <c r="K51" i="2"/>
  <c r="J51" i="2"/>
  <c r="O83" i="1" s="1"/>
  <c r="S50" i="2"/>
  <c r="R50" i="2"/>
  <c r="O50" i="2"/>
  <c r="Q50" i="2" s="1"/>
  <c r="K50" i="2"/>
  <c r="J50" i="2"/>
  <c r="O76" i="1" s="1"/>
  <c r="S49" i="2"/>
  <c r="R49" i="2"/>
  <c r="O49" i="2"/>
  <c r="Q49" i="2" s="1"/>
  <c r="K49" i="2"/>
  <c r="J49" i="2"/>
  <c r="O77" i="1" s="1"/>
  <c r="S48" i="2"/>
  <c r="R48" i="2"/>
  <c r="O48" i="2"/>
  <c r="Q48" i="2" s="1"/>
  <c r="K48" i="2"/>
  <c r="J48" i="2"/>
  <c r="O72" i="1" s="1"/>
  <c r="S47" i="2"/>
  <c r="R47" i="2"/>
  <c r="O47" i="2"/>
  <c r="Q47" i="2" s="1"/>
  <c r="K47" i="2"/>
  <c r="J47" i="2"/>
  <c r="O73" i="1" s="1"/>
  <c r="S46" i="2"/>
  <c r="R46" i="2"/>
  <c r="O46" i="2"/>
  <c r="Q46" i="2" s="1"/>
  <c r="K46" i="2"/>
  <c r="J46" i="2"/>
  <c r="O80" i="1" s="1"/>
  <c r="S45" i="2"/>
  <c r="R45" i="2"/>
  <c r="O45" i="2"/>
  <c r="Q45" i="2" s="1"/>
  <c r="K45" i="2"/>
  <c r="J45" i="2"/>
  <c r="O81" i="1" s="1"/>
  <c r="S44" i="2"/>
  <c r="R44" i="2"/>
  <c r="O44" i="2"/>
  <c r="Q44" i="2" s="1"/>
  <c r="K44" i="2"/>
  <c r="J44" i="2"/>
  <c r="O79" i="1" s="1"/>
  <c r="F44" i="2"/>
  <c r="C46" i="2" s="1"/>
  <c r="S41" i="2"/>
  <c r="R41" i="2"/>
  <c r="O41" i="2"/>
  <c r="Q41" i="2" s="1"/>
  <c r="K41" i="2"/>
  <c r="J41" i="2"/>
  <c r="S40" i="2"/>
  <c r="R40" i="2"/>
  <c r="O40" i="2"/>
  <c r="Q40" i="2" s="1"/>
  <c r="K40" i="2"/>
  <c r="J40" i="2"/>
  <c r="O78" i="1" s="1"/>
  <c r="S39" i="2"/>
  <c r="R39" i="2"/>
  <c r="O39" i="2"/>
  <c r="Q39" i="2" s="1"/>
  <c r="K39" i="2"/>
  <c r="J39" i="2"/>
  <c r="O75" i="1" s="1"/>
  <c r="S38" i="2"/>
  <c r="R38" i="2"/>
  <c r="O38" i="2"/>
  <c r="Q38" i="2" s="1"/>
  <c r="K38" i="2"/>
  <c r="J38" i="2"/>
  <c r="O74" i="1" s="1"/>
  <c r="S37" i="2"/>
  <c r="R37" i="2"/>
  <c r="O37" i="2"/>
  <c r="Q37" i="2" s="1"/>
  <c r="K37" i="2"/>
  <c r="J37" i="2"/>
  <c r="O71" i="1" s="1"/>
  <c r="S36" i="2"/>
  <c r="R36" i="2"/>
  <c r="O36" i="2"/>
  <c r="Q36" i="2" s="1"/>
  <c r="K36" i="2"/>
  <c r="J36" i="2"/>
  <c r="O70" i="1" s="1"/>
  <c r="S35" i="2"/>
  <c r="R35" i="2"/>
  <c r="O35" i="2"/>
  <c r="Q35" i="2" s="1"/>
  <c r="K35" i="2"/>
  <c r="J35" i="2"/>
  <c r="O69" i="1" s="1"/>
  <c r="F35" i="2"/>
  <c r="S32" i="2"/>
  <c r="R32" i="2"/>
  <c r="Q32" i="2"/>
  <c r="K32" i="2"/>
  <c r="J32" i="2"/>
  <c r="S31" i="2"/>
  <c r="R31" i="2"/>
  <c r="Q31" i="2"/>
  <c r="K31" i="2"/>
  <c r="J31" i="2"/>
  <c r="S30" i="2"/>
  <c r="R30" i="2"/>
  <c r="Q30" i="2"/>
  <c r="K30" i="2"/>
  <c r="J30" i="2"/>
  <c r="S29" i="2"/>
  <c r="R29" i="2"/>
  <c r="Q29" i="2"/>
  <c r="K29" i="2"/>
  <c r="J29" i="2"/>
  <c r="S28" i="2"/>
  <c r="R28" i="2"/>
  <c r="Q28" i="2"/>
  <c r="K28" i="2"/>
  <c r="J28" i="2"/>
  <c r="S26" i="2"/>
  <c r="R26" i="2"/>
  <c r="Q26" i="2"/>
  <c r="K26" i="2"/>
  <c r="J26" i="2"/>
  <c r="S25" i="2"/>
  <c r="R25" i="2"/>
  <c r="Q25" i="2"/>
  <c r="K25" i="2"/>
  <c r="J25" i="2"/>
  <c r="S24" i="2"/>
  <c r="R24" i="2"/>
  <c r="Q24" i="2"/>
  <c r="K24" i="2"/>
  <c r="J24" i="2"/>
  <c r="S23" i="2"/>
  <c r="R23" i="2"/>
  <c r="Q23" i="2"/>
  <c r="K23" i="2"/>
  <c r="J23" i="2"/>
  <c r="F23" i="2"/>
  <c r="AA85" i="2" s="1"/>
  <c r="X20" i="2"/>
  <c r="Y20" i="2" s="1"/>
  <c r="S20" i="2"/>
  <c r="R20" i="2"/>
  <c r="Q20" i="2"/>
  <c r="G20" i="2"/>
  <c r="K20" i="2" s="1"/>
  <c r="X19" i="2"/>
  <c r="Y19" i="2" s="1"/>
  <c r="S19" i="2"/>
  <c r="R19" i="2"/>
  <c r="Q19" i="2"/>
  <c r="G19" i="2"/>
  <c r="J19" i="2" s="1"/>
  <c r="X18" i="2"/>
  <c r="Y18" i="2" s="1"/>
  <c r="S18" i="2"/>
  <c r="R18" i="2"/>
  <c r="Q18" i="2"/>
  <c r="G18" i="2"/>
  <c r="X17" i="2"/>
  <c r="S17" i="2"/>
  <c r="R17" i="2"/>
  <c r="Q17" i="2"/>
  <c r="G17" i="2"/>
  <c r="K17" i="2" s="1"/>
  <c r="S16" i="2"/>
  <c r="R16" i="2"/>
  <c r="O16" i="2"/>
  <c r="Q16" i="2" s="1"/>
  <c r="G16" i="2"/>
  <c r="K16" i="2" s="1"/>
  <c r="F16" i="2"/>
  <c r="C18" i="2" s="1"/>
  <c r="C16" i="2"/>
  <c r="S13" i="2"/>
  <c r="R13" i="2"/>
  <c r="O13" i="2"/>
  <c r="Q13" i="2" s="1"/>
  <c r="G13" i="2"/>
  <c r="K13" i="2" s="1"/>
  <c r="S12" i="2"/>
  <c r="R12" i="2"/>
  <c r="Q12" i="2"/>
  <c r="G12" i="2"/>
  <c r="J12" i="2" s="1"/>
  <c r="S11" i="2"/>
  <c r="R11" i="2"/>
  <c r="Q11" i="2"/>
  <c r="G11" i="2"/>
  <c r="K11" i="2" s="1"/>
  <c r="F11" i="2"/>
  <c r="C13" i="2" s="1"/>
  <c r="C11" i="2"/>
  <c r="V11" i="2" s="1"/>
  <c r="W11" i="2" s="1"/>
  <c r="S8" i="2"/>
  <c r="R8" i="2"/>
  <c r="Q8" i="2"/>
  <c r="J8" i="2"/>
  <c r="K8" i="2" s="1"/>
  <c r="G8" i="2"/>
  <c r="F8" i="2"/>
  <c r="C8" i="2"/>
  <c r="S5" i="2"/>
  <c r="R5" i="2"/>
  <c r="O5" i="2"/>
  <c r="Q5" i="2" s="1"/>
  <c r="J5" i="2"/>
  <c r="K5" i="2" s="1"/>
  <c r="G5" i="2"/>
  <c r="F5" i="2"/>
  <c r="C5" i="2" s="1"/>
  <c r="AA25" i="2" l="1"/>
  <c r="AB25" i="2" s="1"/>
  <c r="AA41" i="2"/>
  <c r="AA80" i="2"/>
  <c r="AA93" i="2"/>
  <c r="AA20" i="2"/>
  <c r="AB20" i="2" s="1"/>
  <c r="AA89" i="2"/>
  <c r="AA84" i="2"/>
  <c r="AA92" i="2"/>
  <c r="AB92" i="2" s="1"/>
  <c r="P56" i="1" s="1"/>
  <c r="AA97" i="2"/>
  <c r="O47" i="1"/>
  <c r="AA101" i="2"/>
  <c r="AB101" i="2" s="1"/>
  <c r="P65" i="1" s="1"/>
  <c r="Q65" i="1" s="1"/>
  <c r="AA88" i="2"/>
  <c r="AB88" i="2" s="1"/>
  <c r="P52" i="1" s="1"/>
  <c r="V8" i="2"/>
  <c r="W8" i="2" s="1"/>
  <c r="AB73" i="2"/>
  <c r="AC73" i="2" s="1"/>
  <c r="O48" i="1"/>
  <c r="AA32" i="2"/>
  <c r="AB32" i="2" s="1"/>
  <c r="Z53" i="2"/>
  <c r="AA81" i="2"/>
  <c r="AB81" i="2" s="1"/>
  <c r="P45" i="1" s="1"/>
  <c r="Q45" i="1" s="1"/>
  <c r="O52" i="1"/>
  <c r="C23" i="2"/>
  <c r="V23" i="2" s="1"/>
  <c r="W23" i="2" s="1"/>
  <c r="AB69" i="2"/>
  <c r="AC69" i="2" s="1"/>
  <c r="O53" i="1"/>
  <c r="AA103" i="2"/>
  <c r="AB103" i="2" s="1"/>
  <c r="P67" i="1" s="1"/>
  <c r="Q67" i="1" s="1"/>
  <c r="V73" i="2"/>
  <c r="AA39" i="2"/>
  <c r="AB117" i="2"/>
  <c r="C50" i="2"/>
  <c r="Z50" i="2" s="1"/>
  <c r="AA50" i="2"/>
  <c r="AB50" i="2" s="1"/>
  <c r="P76" i="1" s="1"/>
  <c r="Q76" i="1" s="1"/>
  <c r="AA24" i="2"/>
  <c r="AB24" i="2" s="1"/>
  <c r="AA91" i="2"/>
  <c r="AB91" i="2" s="1"/>
  <c r="P55" i="1" s="1"/>
  <c r="Q55" i="1" s="1"/>
  <c r="O61" i="1"/>
  <c r="AA44" i="2"/>
  <c r="AB44" i="2" s="1"/>
  <c r="P79" i="1" s="1"/>
  <c r="Q79" i="1" s="1"/>
  <c r="AA53" i="2"/>
  <c r="AB53" i="2" s="1"/>
  <c r="AA49" i="2"/>
  <c r="AB49" i="2" s="1"/>
  <c r="P77" i="1" s="1"/>
  <c r="Q77" i="1" s="1"/>
  <c r="AA82" i="2"/>
  <c r="AB82" i="2" s="1"/>
  <c r="P46" i="1" s="1"/>
  <c r="Q46" i="1" s="1"/>
  <c r="AA86" i="2"/>
  <c r="AB86" i="2" s="1"/>
  <c r="P50" i="1" s="1"/>
  <c r="Q50" i="1" s="1"/>
  <c r="O57" i="1"/>
  <c r="O82" i="1"/>
  <c r="AA36" i="2"/>
  <c r="AB36" i="2" s="1"/>
  <c r="P70" i="1" s="1"/>
  <c r="Q70" i="1" s="1"/>
  <c r="O32" i="1"/>
  <c r="O84" i="1"/>
  <c r="AA99" i="2"/>
  <c r="AB99" i="2" s="1"/>
  <c r="P63" i="1" s="1"/>
  <c r="O63" i="1"/>
  <c r="O56" i="1"/>
  <c r="AA46" i="2"/>
  <c r="AA78" i="2"/>
  <c r="AA30" i="2"/>
  <c r="AB30" i="2" s="1"/>
  <c r="C19" i="2"/>
  <c r="V19" i="2" s="1"/>
  <c r="W19" i="2" s="1"/>
  <c r="AA51" i="2"/>
  <c r="AB51" i="2" s="1"/>
  <c r="P83" i="1" s="1"/>
  <c r="Q83" i="1" s="1"/>
  <c r="AB107" i="2"/>
  <c r="O42" i="1"/>
  <c r="AB112" i="2"/>
  <c r="AB113" i="2"/>
  <c r="AB97" i="2"/>
  <c r="P61" i="1" s="1"/>
  <c r="AB89" i="2"/>
  <c r="P53" i="1" s="1"/>
  <c r="AB109" i="2"/>
  <c r="AB111" i="2"/>
  <c r="C47" i="2"/>
  <c r="V47" i="2" s="1"/>
  <c r="X56" i="2"/>
  <c r="AA47" i="2"/>
  <c r="AB47" i="2" s="1"/>
  <c r="P73" i="1" s="1"/>
  <c r="Q73" i="1" s="1"/>
  <c r="AA98" i="2"/>
  <c r="AB98" i="2" s="1"/>
  <c r="P62" i="1" s="1"/>
  <c r="Q62" i="1" s="1"/>
  <c r="AA102" i="2"/>
  <c r="AB102" i="2" s="1"/>
  <c r="P66" i="1" s="1"/>
  <c r="Q66" i="1" s="1"/>
  <c r="C20" i="2"/>
  <c r="V20" i="2" s="1"/>
  <c r="W20" i="2" s="1"/>
  <c r="AB65" i="2"/>
  <c r="AB75" i="2"/>
  <c r="Z8" i="2"/>
  <c r="AB59" i="2"/>
  <c r="AC59" i="2" s="1"/>
  <c r="AA90" i="2"/>
  <c r="AB90" i="2" s="1"/>
  <c r="P54" i="1" s="1"/>
  <c r="Q54" i="1" s="1"/>
  <c r="AA94" i="2"/>
  <c r="AB94" i="2" s="1"/>
  <c r="P58" i="1" s="1"/>
  <c r="Q58" i="1" s="1"/>
  <c r="AB116" i="2"/>
  <c r="AC116" i="2" s="1"/>
  <c r="C51" i="2"/>
  <c r="Z51" i="2" s="1"/>
  <c r="AA95" i="2"/>
  <c r="AB95" i="2" s="1"/>
  <c r="P59" i="1" s="1"/>
  <c r="Q59" i="1" s="1"/>
  <c r="V116" i="2"/>
  <c r="W116" i="2" s="1"/>
  <c r="C17" i="2"/>
  <c r="V17" i="2" s="1"/>
  <c r="W17" i="2" s="1"/>
  <c r="AA48" i="2"/>
  <c r="AB48" i="2" s="1"/>
  <c r="P72" i="1" s="1"/>
  <c r="Q72" i="1" s="1"/>
  <c r="AA87" i="2"/>
  <c r="AB87" i="2" s="1"/>
  <c r="P51" i="1" s="1"/>
  <c r="Q51" i="1" s="1"/>
  <c r="C45" i="2"/>
  <c r="Z45" i="2" s="1"/>
  <c r="AA104" i="2"/>
  <c r="AA29" i="2"/>
  <c r="AB29" i="2" s="1"/>
  <c r="AA28" i="2"/>
  <c r="AB28" i="2" s="1"/>
  <c r="AA23" i="2"/>
  <c r="AB23" i="2" s="1"/>
  <c r="AA12" i="2"/>
  <c r="AB12" i="2" s="1"/>
  <c r="Z18" i="2"/>
  <c r="AA45" i="2"/>
  <c r="AB45" i="2" s="1"/>
  <c r="P81" i="1" s="1"/>
  <c r="Q81" i="1" s="1"/>
  <c r="C49" i="2"/>
  <c r="V49" i="2" s="1"/>
  <c r="AA79" i="2"/>
  <c r="AB79" i="2" s="1"/>
  <c r="AA100" i="2"/>
  <c r="AB100" i="2" s="1"/>
  <c r="P64" i="1" s="1"/>
  <c r="Q64" i="1" s="1"/>
  <c r="AA5" i="2"/>
  <c r="AB5" i="2" s="1"/>
  <c r="P40" i="1" s="1"/>
  <c r="Q40" i="1" s="1"/>
  <c r="C48" i="2"/>
  <c r="Z48" i="2" s="1"/>
  <c r="AB61" i="2"/>
  <c r="AC61" i="2" s="1"/>
  <c r="AB67" i="2"/>
  <c r="AC67" i="2" s="1"/>
  <c r="AA96" i="2"/>
  <c r="AB96" i="2" s="1"/>
  <c r="P60" i="1" s="1"/>
  <c r="Q60" i="1" s="1"/>
  <c r="AB83" i="2"/>
  <c r="AB62" i="2"/>
  <c r="P32" i="1" s="1"/>
  <c r="V89" i="2"/>
  <c r="Z89" i="2"/>
  <c r="Z88" i="2"/>
  <c r="V88" i="2"/>
  <c r="Z84" i="2"/>
  <c r="V84" i="2"/>
  <c r="V93" i="2"/>
  <c r="Z93" i="2"/>
  <c r="Z85" i="2"/>
  <c r="V85" i="2"/>
  <c r="V110" i="2"/>
  <c r="Z110" i="2"/>
  <c r="AC60" i="2"/>
  <c r="Z96" i="2"/>
  <c r="V96" i="2"/>
  <c r="AC68" i="2"/>
  <c r="Z97" i="2"/>
  <c r="V97" i="2"/>
  <c r="AB93" i="2"/>
  <c r="P57" i="1" s="1"/>
  <c r="AC70" i="2"/>
  <c r="Z103" i="2"/>
  <c r="V103" i="2"/>
  <c r="V80" i="2"/>
  <c r="Z80" i="2"/>
  <c r="Z82" i="2"/>
  <c r="V82" i="2"/>
  <c r="Z86" i="2"/>
  <c r="V86" i="2"/>
  <c r="Z95" i="2"/>
  <c r="V95" i="2"/>
  <c r="Z87" i="2"/>
  <c r="V87" i="2"/>
  <c r="Z92" i="2"/>
  <c r="V92" i="2"/>
  <c r="Z112" i="2"/>
  <c r="V112" i="2"/>
  <c r="Z101" i="2"/>
  <c r="V101" i="2"/>
  <c r="Z81" i="2"/>
  <c r="V81" i="2"/>
  <c r="AB85" i="2"/>
  <c r="P49" i="1" s="1"/>
  <c r="Q49" i="1" s="1"/>
  <c r="Z78" i="2"/>
  <c r="V78" i="2"/>
  <c r="V99" i="2"/>
  <c r="Z99" i="2"/>
  <c r="AB110" i="2"/>
  <c r="Z91" i="2"/>
  <c r="V91" i="2"/>
  <c r="AB78" i="2"/>
  <c r="P42" i="1" s="1"/>
  <c r="V83" i="2"/>
  <c r="Z102" i="2"/>
  <c r="V102" i="2"/>
  <c r="V67" i="2"/>
  <c r="W67" i="2" s="1"/>
  <c r="AB84" i="2"/>
  <c r="P48" i="1" s="1"/>
  <c r="Z107" i="2"/>
  <c r="Z111" i="2"/>
  <c r="V111" i="2"/>
  <c r="Z65" i="2"/>
  <c r="V79" i="2"/>
  <c r="Z109" i="2"/>
  <c r="V109" i="2"/>
  <c r="AB80" i="2"/>
  <c r="P44" i="1" s="1"/>
  <c r="Q44" i="1" s="1"/>
  <c r="Z62" i="2"/>
  <c r="V62" i="2"/>
  <c r="V69" i="2"/>
  <c r="W69" i="2" s="1"/>
  <c r="Z94" i="2"/>
  <c r="V94" i="2"/>
  <c r="V61" i="2"/>
  <c r="W61" i="2" s="1"/>
  <c r="V59" i="2"/>
  <c r="W59" i="2" s="1"/>
  <c r="Z98" i="2"/>
  <c r="V98" i="2"/>
  <c r="Z75" i="2"/>
  <c r="AB104" i="2"/>
  <c r="P68" i="1" s="1"/>
  <c r="Q68" i="1" s="1"/>
  <c r="Z117" i="2"/>
  <c r="V117" i="2"/>
  <c r="W117" i="2" s="1"/>
  <c r="Z100" i="2"/>
  <c r="V100" i="2"/>
  <c r="V113" i="2"/>
  <c r="Z113" i="2"/>
  <c r="Z90" i="2"/>
  <c r="V90" i="2"/>
  <c r="Z104" i="2"/>
  <c r="V104" i="2"/>
  <c r="V60" i="2"/>
  <c r="W60" i="2" s="1"/>
  <c r="V74" i="2"/>
  <c r="V66" i="2"/>
  <c r="W66" i="2" s="1"/>
  <c r="V68" i="2"/>
  <c r="W68" i="2" s="1"/>
  <c r="V70" i="2"/>
  <c r="W70" i="2" s="1"/>
  <c r="V45" i="2"/>
  <c r="V46" i="2"/>
  <c r="V13" i="2"/>
  <c r="AB39" i="2"/>
  <c r="P75" i="1" s="1"/>
  <c r="Q75" i="1" s="1"/>
  <c r="AB46" i="2"/>
  <c r="P80" i="1" s="1"/>
  <c r="Q80" i="1" s="1"/>
  <c r="AB41" i="2"/>
  <c r="P82" i="1" s="1"/>
  <c r="Z11" i="2"/>
  <c r="K18" i="2"/>
  <c r="J18" i="2"/>
  <c r="AA19" i="2" s="1"/>
  <c r="AB19" i="2" s="1"/>
  <c r="C39" i="2"/>
  <c r="V39" i="2" s="1"/>
  <c r="C35" i="2"/>
  <c r="V35" i="2" s="1"/>
  <c r="C40" i="2"/>
  <c r="V40" i="2" s="1"/>
  <c r="C36" i="2"/>
  <c r="V36" i="2" s="1"/>
  <c r="AA40" i="2"/>
  <c r="AB40" i="2" s="1"/>
  <c r="P78" i="1" s="1"/>
  <c r="Q78" i="1" s="1"/>
  <c r="C37" i="2"/>
  <c r="V37" i="2" s="1"/>
  <c r="AA38" i="2"/>
  <c r="AB38" i="2" s="1"/>
  <c r="P74" i="1" s="1"/>
  <c r="Q74" i="1" s="1"/>
  <c r="C38" i="2"/>
  <c r="V38" i="2" s="1"/>
  <c r="C41" i="2"/>
  <c r="V41" i="2" s="1"/>
  <c r="AA35" i="2"/>
  <c r="AB35" i="2" s="1"/>
  <c r="P69" i="1" s="1"/>
  <c r="Q69" i="1" s="1"/>
  <c r="Z5" i="2"/>
  <c r="V5" i="2"/>
  <c r="V53" i="2"/>
  <c r="Z13" i="2"/>
  <c r="Z46" i="2"/>
  <c r="V16" i="2"/>
  <c r="Z16" i="2"/>
  <c r="AA37" i="2"/>
  <c r="AB37" i="2" s="1"/>
  <c r="P71" i="1" s="1"/>
  <c r="Q71" i="1" s="1"/>
  <c r="V18" i="2"/>
  <c r="W18" i="2" s="1"/>
  <c r="AA31" i="2"/>
  <c r="AB31" i="2" s="1"/>
  <c r="C32" i="2"/>
  <c r="V32" i="2" s="1"/>
  <c r="W32" i="2" s="1"/>
  <c r="C26" i="2"/>
  <c r="Y17" i="2"/>
  <c r="K12" i="2"/>
  <c r="K19" i="2"/>
  <c r="C44" i="2"/>
  <c r="V44" i="2" s="1"/>
  <c r="J11" i="2"/>
  <c r="AA11" i="2" s="1"/>
  <c r="AB11" i="2" s="1"/>
  <c r="C28" i="2"/>
  <c r="V28" i="2" s="1"/>
  <c r="W28" i="2" s="1"/>
  <c r="J13" i="2"/>
  <c r="C12" i="2"/>
  <c r="C29" i="2"/>
  <c r="AA8" i="2"/>
  <c r="AB8" i="2" s="1"/>
  <c r="AC8" i="2" s="1"/>
  <c r="J16" i="2"/>
  <c r="AA26" i="2"/>
  <c r="AB26" i="2" s="1"/>
  <c r="C25" i="2"/>
  <c r="V25" i="2" s="1"/>
  <c r="W25" i="2" s="1"/>
  <c r="C30" i="2"/>
  <c r="V30" i="2" s="1"/>
  <c r="W30" i="2" s="1"/>
  <c r="J17" i="2"/>
  <c r="AA18" i="2" s="1"/>
  <c r="AB18" i="2" s="1"/>
  <c r="J20" i="2"/>
  <c r="C24" i="2"/>
  <c r="V24" i="2" s="1"/>
  <c r="W24" i="2" s="1"/>
  <c r="C31" i="2"/>
  <c r="V31" i="2" s="1"/>
  <c r="W31" i="2" s="1"/>
  <c r="Q61" i="1" l="1"/>
  <c r="AC98" i="2"/>
  <c r="Q56" i="1"/>
  <c r="Q52" i="1"/>
  <c r="AC75" i="2"/>
  <c r="Z17" i="2"/>
  <c r="Z20" i="2"/>
  <c r="AC20" i="2" s="1"/>
  <c r="Z23" i="2"/>
  <c r="AC107" i="2"/>
  <c r="Z47" i="2"/>
  <c r="AC47" i="2" s="1"/>
  <c r="V50" i="2"/>
  <c r="Q57" i="1"/>
  <c r="Q82" i="1"/>
  <c r="Q63" i="1"/>
  <c r="Q48" i="1"/>
  <c r="Z19" i="2"/>
  <c r="AA13" i="2"/>
  <c r="AB13" i="2" s="1"/>
  <c r="P27" i="1" s="1"/>
  <c r="O27" i="1"/>
  <c r="AA17" i="2"/>
  <c r="AB17" i="2" s="1"/>
  <c r="AC17" i="2" s="1"/>
  <c r="O26" i="1"/>
  <c r="Q26" i="1" s="1"/>
  <c r="AC117" i="2"/>
  <c r="Q42" i="1"/>
  <c r="AC18" i="2"/>
  <c r="W56" i="2"/>
  <c r="Z41" i="2"/>
  <c r="AC41" i="2" s="1"/>
  <c r="AC19" i="2"/>
  <c r="Z38" i="2"/>
  <c r="AC38" i="2" s="1"/>
  <c r="Q32" i="1"/>
  <c r="Q53" i="1"/>
  <c r="AC102" i="2"/>
  <c r="AC53" i="2"/>
  <c r="P84" i="1"/>
  <c r="Q84" i="1" s="1"/>
  <c r="AC79" i="2"/>
  <c r="P43" i="1"/>
  <c r="Q43" i="1" s="1"/>
  <c r="AC83" i="2"/>
  <c r="P47" i="1"/>
  <c r="Q47" i="1" s="1"/>
  <c r="AC112" i="2"/>
  <c r="AC81" i="2"/>
  <c r="AC101" i="2"/>
  <c r="AC111" i="2"/>
  <c r="AC87" i="2"/>
  <c r="AC110" i="2"/>
  <c r="AC50" i="2"/>
  <c r="AC113" i="2"/>
  <c r="AC109" i="2"/>
  <c r="AC103" i="2"/>
  <c r="AC97" i="2"/>
  <c r="AC89" i="2"/>
  <c r="AC82" i="2"/>
  <c r="AC85" i="2"/>
  <c r="AC86" i="2"/>
  <c r="AC99" i="2"/>
  <c r="Z24" i="2"/>
  <c r="AC24" i="2" s="1"/>
  <c r="AC95" i="2"/>
  <c r="AC48" i="2"/>
  <c r="V48" i="2"/>
  <c r="AC94" i="2"/>
  <c r="AC65" i="2"/>
  <c r="V51" i="2"/>
  <c r="Z30" i="2"/>
  <c r="AC30" i="2" s="1"/>
  <c r="AC96" i="2"/>
  <c r="Z49" i="2"/>
  <c r="AC49" i="2" s="1"/>
  <c r="AC45" i="2"/>
  <c r="AC90" i="2"/>
  <c r="AC62" i="2"/>
  <c r="AC104" i="2"/>
  <c r="AC93" i="2"/>
  <c r="AC80" i="2"/>
  <c r="AC78" i="2"/>
  <c r="AC88" i="2"/>
  <c r="AC91" i="2"/>
  <c r="AC100" i="2"/>
  <c r="AC92" i="2"/>
  <c r="AC84" i="2"/>
  <c r="AC46" i="2"/>
  <c r="AC51" i="2"/>
  <c r="Z29" i="2"/>
  <c r="AC29" i="2" s="1"/>
  <c r="V29" i="2"/>
  <c r="W29" i="2" s="1"/>
  <c r="V12" i="2"/>
  <c r="Z12" i="2"/>
  <c r="AC12" i="2" s="1"/>
  <c r="Z36" i="2"/>
  <c r="AC36" i="2" s="1"/>
  <c r="Z28" i="2"/>
  <c r="AC28" i="2" s="1"/>
  <c r="Z40" i="2"/>
  <c r="AC40" i="2" s="1"/>
  <c r="AC23" i="2"/>
  <c r="V26" i="2"/>
  <c r="W26" i="2" s="1"/>
  <c r="W57" i="2" s="1"/>
  <c r="Z26" i="2"/>
  <c r="AC26" i="2" s="1"/>
  <c r="Z35" i="2"/>
  <c r="AC35" i="2" s="1"/>
  <c r="Z32" i="2"/>
  <c r="AC32" i="2" s="1"/>
  <c r="AC5" i="2"/>
  <c r="Z44" i="2"/>
  <c r="AC44" i="2" s="1"/>
  <c r="Z39" i="2"/>
  <c r="AC39" i="2" s="1"/>
  <c r="AC11" i="2"/>
  <c r="Z31" i="2"/>
  <c r="AC31" i="2" s="1"/>
  <c r="Z25" i="2"/>
  <c r="AC25" i="2" s="1"/>
  <c r="Z37" i="2"/>
  <c r="AC37" i="2" s="1"/>
  <c r="Q27" i="1" l="1"/>
  <c r="AC13" i="2"/>
  <c r="Z57" i="2"/>
  <c r="Z5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Lam (TCCI)</author>
    <author>Alexander Reid (TCI)</author>
  </authors>
  <commentList>
    <comment ref="J2" authorId="0" shapeId="0" xr:uid="{F589733E-2D3E-41EE-8774-755FD52FDF22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Use this to calc DEP</t>
        </r>
      </text>
    </comment>
    <comment ref="U2" authorId="0" shapeId="0" xr:uid="{1130068B-0087-4F67-B7FB-D67A5CE88979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Grey: TCI Sold Directly to Dealers 
Clear: Auction Data</t>
        </r>
      </text>
    </comment>
    <comment ref="V2" authorId="0" shapeId="0" xr:uid="{2D5FD777-6289-4BE2-AFBB-0105EF0B4F0E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Based on Months on Program</t>
        </r>
      </text>
    </comment>
    <comment ref="H5" authorId="0" shapeId="0" xr:uid="{A5DCD70E-158C-4AFE-B5CA-048552BF9963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TCCI already registered 2 vehicles before program started, therefore 2 TCCI vehicles didn't get the $3k Provincial (CleanBC) credit</t>
        </r>
      </text>
    </comment>
    <comment ref="I5" authorId="0" shapeId="0" xr:uid="{D3B55D7B-8BAA-40C3-A658-24085301DE2F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Bury</t>
        </r>
      </text>
    </comment>
    <comment ref="H8" authorId="0" shapeId="0" xr:uid="{7C1A57B6-FBBB-430E-A03B-416C03268D18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TCCI already registered 2 vehicles before program started, therefore 2 TCCI vehicles didn't get the $3k Provincial (CleanBC) credit</t>
        </r>
      </text>
    </comment>
    <comment ref="O8" authorId="0" shapeId="0" xr:uid="{36FCAF83-2999-450A-9E9C-32F3A0265B47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Mar-25</t>
        </r>
      </text>
    </comment>
    <comment ref="O11" authorId="0" shapeId="0" xr:uid="{159B0176-2765-43FD-B5E9-2B3A365FE1C4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12" authorId="0" shapeId="0" xr:uid="{420639A6-27D7-43E4-8B62-5A2263739DE8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I13" authorId="0" shapeId="0" xr:uid="{5167D4FE-6972-4426-A3BF-6241764AA528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Bury</t>
        </r>
      </text>
    </comment>
    <comment ref="I16" authorId="0" shapeId="0" xr:uid="{40718D67-7546-4873-AE4B-78FCA9434B1B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Bury</t>
        </r>
      </text>
    </comment>
    <comment ref="O17" authorId="0" shapeId="0" xr:uid="{54E08450-E4F4-4B9C-85F1-345C970CA3F7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18" authorId="0" shapeId="0" xr:uid="{E9BC8959-9175-40DD-B3E7-900EF6AA5DAA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19" authorId="0" shapeId="0" xr:uid="{58B69DFB-F637-4AC1-B2AF-B170E55025E7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20" authorId="0" shapeId="0" xr:uid="{7549C3A7-C5A9-43FE-8ACB-0004B5C71657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M23" authorId="0" shapeId="0" xr:uid="{8C562E56-800B-44C7-BF45-38048BA85211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Sep-24</t>
        </r>
      </text>
    </comment>
    <comment ref="O23" authorId="0" shapeId="0" xr:uid="{39E715BE-D1C0-4F60-AD77-233F9DA19CA5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24" authorId="0" shapeId="0" xr:uid="{61104041-5495-4F94-98FB-E02CEA129F49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25" authorId="0" shapeId="0" xr:uid="{661C84D1-FE1E-48A0-9AC0-365C967764FD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26" authorId="0" shapeId="0" xr:uid="{CBC19FF2-6E13-40B3-BD45-02C7641B4195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28" authorId="0" shapeId="0" xr:uid="{3CA132B7-0CB0-4F79-83A7-A4D61113CA99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O29" authorId="0" shapeId="0" xr:uid="{0EF17E6E-9632-468F-AC39-27440CFE1C36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I30" authorId="1" shapeId="0" xr:uid="{2C1FC78F-930E-4C5F-9D5B-0D49DE6A44C0}">
      <text>
        <r>
          <rPr>
            <b/>
            <sz val="9"/>
            <color indexed="81"/>
            <rFont val="Tahoma"/>
            <family val="2"/>
          </rPr>
          <t>Alexander Reid (TCI):</t>
        </r>
        <r>
          <rPr>
            <sz val="9"/>
            <color indexed="81"/>
            <rFont val="Tahoma"/>
            <family val="2"/>
          </rPr>
          <t xml:space="preserve">
vehicle sold by TCI. Did we pay it back?</t>
        </r>
      </text>
    </comment>
    <comment ref="O30" authorId="0" shapeId="0" xr:uid="{3B4F4A10-B87A-4526-BA82-2EE57785628B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O31" authorId="0" shapeId="0" xr:uid="{A7A33163-0515-4C13-8CF3-232FDE228C04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O32" authorId="0" shapeId="0" xr:uid="{83E7DEDC-CA31-4858-8D93-759722B86EF4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O59" authorId="0" shapeId="0" xr:uid="{DED75636-15D8-499C-96DF-725CF275BE42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60" authorId="0" shapeId="0" xr:uid="{8BD2B257-FD29-4564-B2F9-F2FA3ADE9A16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Mar-25</t>
        </r>
      </text>
    </comment>
    <comment ref="O61" authorId="0" shapeId="0" xr:uid="{700EADD7-C373-40B3-B930-16B6169FA3A0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I62" authorId="0" shapeId="0" xr:uid="{2B1F5A89-A689-42B7-AFE0-AFA08246C01D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Bury</t>
        </r>
      </text>
    </comment>
    <comment ref="O65" authorId="0" shapeId="0" xr:uid="{6A586CD3-7928-4DC2-B3D3-EF78FB4F3F3C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66" authorId="0" shapeId="0" xr:uid="{8085332C-EADC-4411-BBFA-B5D6C91BF720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67" authorId="0" shapeId="0" xr:uid="{3D88060A-D352-4BA3-B74B-5A1DA989AD2F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Mar-25</t>
        </r>
      </text>
    </comment>
    <comment ref="O68" authorId="0" shapeId="0" xr:uid="{94A3CB7C-32FF-459B-92A3-5ED4A20F8926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Mar-25</t>
        </r>
      </text>
    </comment>
    <comment ref="O69" authorId="0" shapeId="0" xr:uid="{096C6ACD-6C10-4DE1-BA75-52C9856E6993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70" authorId="0" shapeId="0" xr:uid="{63167283-6F1F-4F36-A8EA-862B59E2112F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Apr-25</t>
        </r>
      </text>
    </comment>
    <comment ref="O107" authorId="0" shapeId="0" xr:uid="{3260704D-970C-4AEA-9299-1860D23083A5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Apr-24</t>
        </r>
      </text>
    </comment>
    <comment ref="O116" authorId="0" shapeId="0" xr:uid="{8099A355-1960-4218-BB01-B61310749E1A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  <comment ref="O117" authorId="0" shapeId="0" xr:uid="{B3EC8008-113C-4ADF-BDB6-2B808CB66588}">
      <text>
        <r>
          <rPr>
            <b/>
            <sz val="9"/>
            <color indexed="81"/>
            <rFont val="Tahoma"/>
            <family val="2"/>
          </rPr>
          <t>Leonardo Lam (TCCI):</t>
        </r>
        <r>
          <rPr>
            <sz val="9"/>
            <color indexed="81"/>
            <rFont val="Tahoma"/>
            <family val="2"/>
          </rPr>
          <t xml:space="preserve">
TCI: Dec-24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<sst xmlns="http://schemas.openxmlformats.org/spreadsheetml/2006/main" count="1015" uniqueCount="247">
  <si>
    <t>Year</t>
  </si>
  <si>
    <t>Dep/24</t>
  </si>
  <si>
    <t>Model</t>
  </si>
  <si>
    <t>Trim</t>
  </si>
  <si>
    <t>RV</t>
  </si>
  <si>
    <t>Rebate $</t>
  </si>
  <si>
    <t>Owner</t>
  </si>
  <si>
    <t>VIN</t>
  </si>
  <si>
    <t>Purchase Price</t>
  </si>
  <si>
    <t>Price (w/o Rebate)</t>
  </si>
  <si>
    <t>Actual Paid (BOS)</t>
  </si>
  <si>
    <t>Purchase Date</t>
  </si>
  <si>
    <t>Purchase Month</t>
  </si>
  <si>
    <t>Offboard Date</t>
  </si>
  <si>
    <t>Offboard Month</t>
  </si>
  <si>
    <t>Months on Program</t>
  </si>
  <si>
    <t>Accident</t>
  </si>
  <si>
    <t>Odometer</t>
  </si>
  <si>
    <t>Sold Month</t>
  </si>
  <si>
    <t>Sold Price</t>
  </si>
  <si>
    <t>B/E Price</t>
  </si>
  <si>
    <t>G/L</t>
  </si>
  <si>
    <t>Fees (w/o tax)</t>
  </si>
  <si>
    <t>Fees (w/ tax)</t>
  </si>
  <si>
    <t>Actual Total Dep</t>
  </si>
  <si>
    <t>Dep/24 [TCI accounting view]</t>
  </si>
  <si>
    <t>Total Depreciation [TCI accounting view]</t>
  </si>
  <si>
    <t>Diff.</t>
  </si>
  <si>
    <t>iZEV w/o Prov</t>
  </si>
  <si>
    <t>MY23</t>
  </si>
  <si>
    <t>bZ4X</t>
  </si>
  <si>
    <t>LE</t>
  </si>
  <si>
    <t>TCCI</t>
  </si>
  <si>
    <t>JTMAAAAAXPA027970</t>
  </si>
  <si>
    <t>XLE</t>
  </si>
  <si>
    <t>JTMABACA2PA045471</t>
  </si>
  <si>
    <t>w/ iZEV + Prov</t>
  </si>
  <si>
    <t>JTMAAAAA8PA028907</t>
  </si>
  <si>
    <t>JTMAAAAA6PA023415</t>
  </si>
  <si>
    <t>JTMAAAAA2PA027333</t>
  </si>
  <si>
    <t>JTMABACA9PA044818</t>
  </si>
  <si>
    <t>JTMABACA7PA046096</t>
  </si>
  <si>
    <t>JTMABACA5PA045528</t>
  </si>
  <si>
    <t>JTMABACA7PA042856</t>
  </si>
  <si>
    <t>JTMABACA1PA041363</t>
  </si>
  <si>
    <t>w/ iZEV</t>
  </si>
  <si>
    <t>MY24</t>
  </si>
  <si>
    <t>Mirai</t>
  </si>
  <si>
    <t>JTDAAAAAXRA011741</t>
  </si>
  <si>
    <t>JTDAAAAAXRA011724</t>
  </si>
  <si>
    <t>JTDAAAAA6RA011705</t>
  </si>
  <si>
    <t>JTDAAAAA7RA011714</t>
  </si>
  <si>
    <t>Cannot locate BOS</t>
  </si>
  <si>
    <t>JTDAAAAA3RA011645</t>
  </si>
  <si>
    <t>JTDAAAAA2RA011684</t>
  </si>
  <si>
    <t>JTDAAAAA7RA011633</t>
  </si>
  <si>
    <t>JTDAAAAAXRA011657</t>
  </si>
  <si>
    <t>JTDAAAAA5RA011663</t>
  </si>
  <si>
    <t>w/o iZEV</t>
  </si>
  <si>
    <t>MY25</t>
  </si>
  <si>
    <t>LE FWD</t>
  </si>
  <si>
    <t>JTMAAAAA1SA058324</t>
  </si>
  <si>
    <t>JTMAAAAA3SA058289</t>
  </si>
  <si>
    <t>JTMAAAAA8SA058403</t>
  </si>
  <si>
    <t>JTMAAAAA8SA058188</t>
  </si>
  <si>
    <t>JTMAAAAA4SA058141</t>
  </si>
  <si>
    <t>JTMAAAAA7SA058201</t>
  </si>
  <si>
    <t>JTMAAAAA1SA058341</t>
  </si>
  <si>
    <t>LE AWD</t>
  </si>
  <si>
    <t>JTMABACA1SA094718</t>
  </si>
  <si>
    <t>JTMABACA0SA094807</t>
  </si>
  <si>
    <t>JTMABACA7SA094917</t>
  </si>
  <si>
    <t>JTMABACA3SA094817</t>
  </si>
  <si>
    <t>JTMABACA8SA094988</t>
  </si>
  <si>
    <t>JTMABACA8SA094733</t>
  </si>
  <si>
    <t>JTMABACA3SA094722</t>
  </si>
  <si>
    <t>JTMABACA4SA094891</t>
  </si>
  <si>
    <t>JTMABACA8SA096921</t>
  </si>
  <si>
    <t>w/ Tax</t>
  </si>
  <si>
    <t>G/L on Sale</t>
  </si>
  <si>
    <t>Total Depreciation</t>
  </si>
  <si>
    <t>TOTAL</t>
  </si>
  <si>
    <t>bZ</t>
  </si>
  <si>
    <t>Total # of Vehicles</t>
  </si>
  <si>
    <t>JTMAAAAA4PA029083</t>
  </si>
  <si>
    <t>JTMAAAAA0PA028495</t>
  </si>
  <si>
    <t>JTMAAAAA9PA026597</t>
  </si>
  <si>
    <t>JTMAAAAA7PA027683</t>
  </si>
  <si>
    <t>JTMABACA7PA044929</t>
  </si>
  <si>
    <t>JTMABACA5PA045254</t>
  </si>
  <si>
    <t>JTMABACA5PA045139</t>
  </si>
  <si>
    <t>JTMABACA4PA045262</t>
  </si>
  <si>
    <t>JTMABACA8PA042963</t>
  </si>
  <si>
    <t>JTMABACA5PA045366</t>
  </si>
  <si>
    <t>JTDAAAAA8PA008365</t>
  </si>
  <si>
    <t>JTDAAAAA9PA008438</t>
  </si>
  <si>
    <t>JTDAAAAA3PA008371</t>
  </si>
  <si>
    <t>JTMAAAAAXRA050104</t>
  </si>
  <si>
    <t>JTMAAAAA8RA050148</t>
  </si>
  <si>
    <t>JTMAAAAA5RA050253</t>
  </si>
  <si>
    <t>JTMAAAAA5RA050334</t>
  </si>
  <si>
    <t>JTMAAAAA6RA050388</t>
  </si>
  <si>
    <t>JTMAAAAA5RA050706</t>
  </si>
  <si>
    <t>JTMAAAAA8RA050716</t>
  </si>
  <si>
    <t>JTMAAAAA1RA050816</t>
  </si>
  <si>
    <t>JTMAAAAA0RA050998</t>
  </si>
  <si>
    <t>JTMAAAAA4RA051104</t>
  </si>
  <si>
    <t>JTMAAAAA5RA051242</t>
  </si>
  <si>
    <t>JTMAAAAA3RA051224</t>
  </si>
  <si>
    <t>JTMAAAAA2RA051361</t>
  </si>
  <si>
    <t>JTMAAAAA2RA049660</t>
  </si>
  <si>
    <t>JTMAAAAA1RA049746</t>
  </si>
  <si>
    <t>JTMAAAAA8RA049744</t>
  </si>
  <si>
    <t>JTMAAAAA2RA049724</t>
  </si>
  <si>
    <t>JTMAAAAA6RA049855</t>
  </si>
  <si>
    <t>JTMAAAAA1RA049925</t>
  </si>
  <si>
    <t>JTMAAAAA8RA050053</t>
  </si>
  <si>
    <t>JTMAAAAA3RA050090</t>
  </si>
  <si>
    <t>JTMAAAAA1RA049875</t>
  </si>
  <si>
    <t>JTMAAAAAXRA050006</t>
  </si>
  <si>
    <t>JTMAAAAA8RA050229</t>
  </si>
  <si>
    <t>JTMAAAAA0RA050340</t>
  </si>
  <si>
    <t>JTMAAAAA5RA050463</t>
  </si>
  <si>
    <t>JTMAAAAA2RA050565</t>
  </si>
  <si>
    <t>JTDAAAAAXRA011691</t>
  </si>
  <si>
    <t>JTDAAAAA8RA011754</t>
  </si>
  <si>
    <t>JTDAAAAA0RA011764</t>
  </si>
  <si>
    <t>JTDAAAAAXRA011786</t>
  </si>
  <si>
    <t>JTDAAAAA5RA011789</t>
  </si>
  <si>
    <t>JTDAAAAA4RA011766</t>
  </si>
  <si>
    <t>JTDAAAAA0RA011490</t>
  </si>
  <si>
    <t>JTDAAAAA7RA011566</t>
  </si>
  <si>
    <t>Vehicle ID</t>
  </si>
  <si>
    <t>Plate Number</t>
  </si>
  <si>
    <t>MY</t>
  </si>
  <si>
    <t>Colour</t>
  </si>
  <si>
    <t>Onboard date</t>
  </si>
  <si>
    <t>DLR Name</t>
  </si>
  <si>
    <t>Ownership</t>
  </si>
  <si>
    <t>Latest Rent End</t>
  </si>
  <si>
    <t>Status</t>
  </si>
  <si>
    <t>Purchase price</t>
  </si>
  <si>
    <t>Total Dep</t>
  </si>
  <si>
    <t>Price to BE</t>
  </si>
  <si>
    <t>OB-VN545G</t>
  </si>
  <si>
    <t>Supersonic Red</t>
  </si>
  <si>
    <t>OpenRoad Toyota Richmond</t>
  </si>
  <si>
    <t>TCI</t>
  </si>
  <si>
    <t>Offboarded</t>
  </si>
  <si>
    <t>OB-VN534G</t>
  </si>
  <si>
    <t>Oxygen White</t>
  </si>
  <si>
    <t>Sold</t>
  </si>
  <si>
    <t>OB-VN546G</t>
  </si>
  <si>
    <t>Westminster Toyota</t>
  </si>
  <si>
    <t>OB-VN541G</t>
  </si>
  <si>
    <t>Hydro Blue</t>
  </si>
  <si>
    <t>Destination Toyota Burnaby</t>
  </si>
  <si>
    <t>OB-VN543G</t>
  </si>
  <si>
    <t>OB-VX143W</t>
  </si>
  <si>
    <t>OB-VX105W</t>
  </si>
  <si>
    <t>OB-VX104W</t>
  </si>
  <si>
    <t>OB-VX124W</t>
  </si>
  <si>
    <t>OB-VX146W</t>
  </si>
  <si>
    <t>OB2-VX105W</t>
  </si>
  <si>
    <t>OB2-VX104W</t>
  </si>
  <si>
    <t>OB2-VX124W</t>
  </si>
  <si>
    <t>OB2-VX143W</t>
  </si>
  <si>
    <t>WW595B</t>
  </si>
  <si>
    <t>WW597B</t>
  </si>
  <si>
    <t>12/31/1899</t>
  </si>
  <si>
    <t>WW591B</t>
  </si>
  <si>
    <t>WW593B</t>
  </si>
  <si>
    <t>VN543G</t>
  </si>
  <si>
    <t>OB-VC871J</t>
  </si>
  <si>
    <t>XLE AWD</t>
  </si>
  <si>
    <t>Wind Chill Pearl</t>
  </si>
  <si>
    <t>OB-VC872J</t>
  </si>
  <si>
    <t>OB-VC862J</t>
  </si>
  <si>
    <t>OB-VC867J</t>
  </si>
  <si>
    <t>Element Silver</t>
  </si>
  <si>
    <t>VC861J</t>
  </si>
  <si>
    <t>VC857J</t>
  </si>
  <si>
    <t>Jim Pattison Toyota Surrey</t>
  </si>
  <si>
    <t>VC859J</t>
  </si>
  <si>
    <t>VC852J</t>
  </si>
  <si>
    <t>VC853J</t>
  </si>
  <si>
    <t>Heavy Metal</t>
  </si>
  <si>
    <t>VC850J</t>
  </si>
  <si>
    <t>TJ719P</t>
  </si>
  <si>
    <t>OB-SL658D</t>
  </si>
  <si>
    <t>Black</t>
  </si>
  <si>
    <t>OB-TJ720P</t>
  </si>
  <si>
    <t>OB-VC837J</t>
  </si>
  <si>
    <t>VC870J</t>
  </si>
  <si>
    <t>VC851J</t>
  </si>
  <si>
    <t>VC873J</t>
  </si>
  <si>
    <t>VC863J</t>
  </si>
  <si>
    <t>VC865J</t>
  </si>
  <si>
    <t>VC856J</t>
  </si>
  <si>
    <t>Nautical Blue</t>
  </si>
  <si>
    <t>WJ943C</t>
  </si>
  <si>
    <t>WW605B</t>
  </si>
  <si>
    <t>WW607B</t>
  </si>
  <si>
    <t>WW604B</t>
  </si>
  <si>
    <t>WW613B</t>
  </si>
  <si>
    <t>WW572B</t>
  </si>
  <si>
    <t>WW614B</t>
  </si>
  <si>
    <t>WW564B</t>
  </si>
  <si>
    <t>WW573B</t>
  </si>
  <si>
    <t>WW554B</t>
  </si>
  <si>
    <t>WW574B</t>
  </si>
  <si>
    <t>WW584B</t>
  </si>
  <si>
    <t>WW594B</t>
  </si>
  <si>
    <t>WJ952C</t>
  </si>
  <si>
    <t>WP167E</t>
  </si>
  <si>
    <t>WJ931C</t>
  </si>
  <si>
    <t>WJ937C</t>
  </si>
  <si>
    <t>WP156E</t>
  </si>
  <si>
    <t>WP197E</t>
  </si>
  <si>
    <t>WW609B</t>
  </si>
  <si>
    <t>WP176E</t>
  </si>
  <si>
    <t>WJ957C</t>
  </si>
  <si>
    <t>WJ967C</t>
  </si>
  <si>
    <t>WW571B</t>
  </si>
  <si>
    <t>WW570B</t>
  </si>
  <si>
    <t>WW560B</t>
  </si>
  <si>
    <t>WW596B</t>
  </si>
  <si>
    <t>XF047D</t>
  </si>
  <si>
    <t>XF049D</t>
  </si>
  <si>
    <t>XF043D</t>
  </si>
  <si>
    <t>XF046D</t>
  </si>
  <si>
    <t>XF042D</t>
  </si>
  <si>
    <t>XA944L</t>
  </si>
  <si>
    <t>XA934L</t>
  </si>
  <si>
    <t>XA894L</t>
  </si>
  <si>
    <t>XA949L</t>
  </si>
  <si>
    <t>XA946L</t>
  </si>
  <si>
    <t>XA941L</t>
  </si>
  <si>
    <t>XA942L</t>
  </si>
  <si>
    <t>XA940L</t>
  </si>
  <si>
    <t>VX143W</t>
  </si>
  <si>
    <t>XA950L</t>
  </si>
  <si>
    <t>Odometer 3_19_26</t>
  </si>
  <si>
    <t>Status 3_19_26</t>
  </si>
  <si>
    <t>active</t>
  </si>
  <si>
    <t>inactive</t>
  </si>
  <si>
    <t>Onboarded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</si>
</sst>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1"/>
      <color rgb="FF000000"/>
      <name val="Aptos Narrow"/>
      <family val="2"/>
      <scheme val="minor"/>
    </font>
    <font>
      <b/>
      <sz val="12"/>
      <name val="Aptos"/>
      <family val="2"/>
    </font>
    <font>
      <sz val="12"/>
      <name val="Aptos"/>
      <family val="2"/>
    </font>
    <font>
      <sz val="12"/>
      <color rgb="FF00B050"/>
      <name val="Aptos"/>
      <family val="2"/>
    </font>
    <font>
      <sz val="12"/>
      <color rgb="FFFF0000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2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0" xfId="43" applyFont="1"/>
    <xf numFmtId="0" fontId="19" fillId="0" borderId="0" xfId="43" applyFont="1"/>
    <xf numFmtId="0" fontId="21" fillId="0" borderId="0" xfId="44" applyFont="1"/>
    <xf numFmtId="0" fontId="21" fillId="33" borderId="0" xfId="44" applyFont="1" applyFill="1"/>
    <xf numFmtId="0" fontId="22" fillId="0" borderId="0" xfId="44" applyFont="1"/>
    <xf numFmtId="44" fontId="18" fillId="0" borderId="0" xfId="43" applyNumberFormat="1" applyFont="1"/>
    <xf numFmtId="44" fontId="18" fillId="0" borderId="0" xfId="43" applyNumberFormat="1" applyFont="1" applyAlignment="1">
      <alignment horizontal="center"/>
    </xf>
    <xf numFmtId="164" fontId="18" fillId="0" borderId="0" xfId="43" applyNumberFormat="1" applyFont="1" applyAlignment="1">
      <alignment horizontal="center"/>
    </xf>
    <xf numFmtId="0" fontId="19" fillId="0" borderId="0" xfId="44" applyFont="1"/>
    <xf numFmtId="44" fontId="22" fillId="0" borderId="0" xfId="44" applyNumberFormat="1" applyFont="1"/>
    <xf numFmtId="0" fontId="19" fillId="34" borderId="0" xfId="43" applyFont="1" applyFill="1" applyAlignment="1">
      <alignment horizontal="center"/>
    </xf>
    <xf numFmtId="0" fontId="19" fillId="33" borderId="0" xfId="43" applyFont="1" applyFill="1" applyAlignment="1">
      <alignment horizontal="left"/>
    </xf>
    <xf numFmtId="44" fontId="23" fillId="0" borderId="0" xfId="43" applyNumberFormat="1" applyFont="1" applyAlignment="1">
      <alignment horizontal="center"/>
    </xf>
    <xf numFmtId="14" fontId="19" fillId="0" borderId="0" xfId="43" applyNumberFormat="1" applyFont="1" applyAlignment="1">
      <alignment horizontal="center"/>
    </xf>
    <xf numFmtId="17" fontId="19" fillId="0" borderId="0" xfId="43" applyNumberFormat="1" applyFont="1" applyAlignment="1">
      <alignment horizontal="center"/>
    </xf>
    <xf numFmtId="14" fontId="19" fillId="35" borderId="0" xfId="43" applyNumberFormat="1" applyFont="1" applyFill="1" applyAlignment="1">
      <alignment horizontal="center"/>
    </xf>
    <xf numFmtId="0" fontId="19" fillId="0" borderId="0" xfId="43" applyFont="1" applyAlignment="1">
      <alignment horizontal="center"/>
    </xf>
    <xf numFmtId="0" fontId="19" fillId="0" borderId="0" xfId="43" applyFont="1" applyAlignment="1">
      <alignment horizontal="left"/>
    </xf>
    <xf numFmtId="0" fontId="19" fillId="36" borderId="0" xfId="43" applyFont="1" applyFill="1" applyAlignment="1">
      <alignment horizontal="left"/>
    </xf>
    <xf numFmtId="17" fontId="18" fillId="0" borderId="0" xfId="43" applyNumberFormat="1" applyFont="1"/>
    <xf numFmtId="14" fontId="18" fillId="0" borderId="0" xfId="43" applyNumberFormat="1" applyFont="1"/>
    <xf numFmtId="17" fontId="18" fillId="37" borderId="0" xfId="43" applyNumberFormat="1" applyFont="1" applyFill="1"/>
    <xf numFmtId="2" fontId="22" fillId="0" borderId="0" xfId="44" applyNumberFormat="1" applyFont="1"/>
    <xf numFmtId="0" fontId="18" fillId="38" borderId="0" xfId="43" applyFont="1" applyFill="1"/>
    <xf numFmtId="0" fontId="18" fillId="34" borderId="0" xfId="43" applyFont="1" applyFill="1" applyAlignment="1">
      <alignment horizontal="center"/>
    </xf>
    <xf numFmtId="44" fontId="22" fillId="38" borderId="0" xfId="44" applyNumberFormat="1" applyFont="1" applyFill="1"/>
    <xf numFmtId="0" fontId="24" fillId="0" borderId="0" xfId="43" applyFont="1"/>
    <xf numFmtId="44" fontId="24" fillId="0" borderId="0" xfId="43" applyNumberFormat="1" applyFont="1"/>
    <xf numFmtId="0" fontId="19" fillId="39" borderId="0" xfId="43" applyFont="1" applyFill="1" applyAlignment="1">
      <alignment horizontal="left"/>
    </xf>
    <xf numFmtId="44" fontId="23" fillId="0" borderId="0" xfId="43" applyNumberFormat="1" applyFont="1"/>
    <xf numFmtId="14" fontId="18" fillId="0" borderId="0" xfId="43" applyNumberFormat="1" applyFont="1" applyAlignment="1">
      <alignment horizontal="center"/>
    </xf>
    <xf numFmtId="44" fontId="22" fillId="0" borderId="0" xfId="43" applyNumberFormat="1" applyFont="1" applyAlignment="1">
      <alignment horizontal="center"/>
    </xf>
    <xf numFmtId="0" fontId="18" fillId="0" borderId="0" xfId="43" applyFont="1" applyAlignment="1">
      <alignment horizontal="center"/>
    </xf>
    <xf numFmtId="0" fontId="22" fillId="0" borderId="0" xfId="43" applyFont="1"/>
    <xf numFmtId="44" fontId="21" fillId="0" borderId="0" xfId="44" applyNumberFormat="1" applyFont="1"/>
    <xf numFmtId="44" fontId="18" fillId="37" borderId="0" xfId="43" applyNumberFormat="1" applyFont="1" applyFill="1" applyAlignment="1">
      <alignment horizontal="center"/>
    </xf>
    <xf numFmtId="44" fontId="18" fillId="37" borderId="0" xfId="43" applyNumberFormat="1" applyFont="1" applyFill="1"/>
    <xf numFmtId="0" fontId="19" fillId="0" borderId="0" xfId="0" applyFont="1"/>
    <xf numFmtId="0" fontId="22" fillId="0" borderId="0" xfId="0" applyFont="1"/>
    <xf numFmtId="44" fontId="22" fillId="0" borderId="0" xfId="0" applyNumberFormat="1" applyFont="1"/>
    <xf numFmtId="9" fontId="22" fillId="0" borderId="0" xfId="1" applyFont="1"/>
    <xf numFmtId="44" fontId="0" fillId="0" borderId="0" xfId="45" applyFont="1"/>
    <xf numFmtId="165" fontId="0" fillId="0" borderId="0" xfId="46" applyNumberFormat="1" applyFont="1"/>
    <xf numFmtId="0" fontId="22" fillId="0" borderId="0" xfId="44" applyFont="1" applyAlignment="1">
      <alignment horizont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6" builtinId="3"/>
    <cellStyle name="Currency" xfId="45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C8DA0136-EABD-441D-A82D-B4D020071892}"/>
    <cellStyle name="Normal 2 2 2" xfId="43" xr:uid="{F94C6CA3-6492-4ED1-AC23-674C50351443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27" formatCode="m/d/yyyy\ h:mm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docs.toyota.com/personal/alexander_reid_toyota_ca/Documents/Kinto/Kinto%20TCI/F&amp;A/Vehicle%20Tracker%20December%202025.xlsx" TargetMode="External"/><Relationship Id="rId1" Type="http://schemas.openxmlformats.org/officeDocument/2006/relationships/externalLinkPath" Target="https://myteams.toyota.com/personal/alexander_reid_toyota_ca/Documents/Kinto/Kinto%20TCI/F&amp;A/Vehicle%20Tracker%20Dec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 by Dealer w Odo"/>
      <sheetName val="Fleet info December 1st 2025"/>
      <sheetName val="Autotrader Sep 25"/>
      <sheetName val="Fleet"/>
      <sheetName val="Pricing"/>
      <sheetName val="Accidents"/>
      <sheetName val="Dealers"/>
      <sheetName val="Past Rental Reports"/>
      <sheetName val="Fleet Count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VIN</v>
          </cell>
          <cell r="D1" t="str">
            <v>Status - 46 Active</v>
          </cell>
          <cell r="E1" t="str">
            <v>Re/In-active Date</v>
          </cell>
          <cell r="F1" t="str">
            <v>Reason (if inactive)</v>
          </cell>
          <cell r="G1" t="str">
            <v>Accident- Claim Number</v>
          </cell>
          <cell r="H1" t="str">
            <v>Accident-ICBC Contact</v>
          </cell>
          <cell r="I1" t="str">
            <v>Dealer</v>
          </cell>
          <cell r="J1" t="str">
            <v>Dlr #</v>
          </cell>
          <cell r="K1" t="str">
            <v>MY</v>
          </cell>
          <cell r="L1" t="str">
            <v>Model</v>
          </cell>
          <cell r="M1" t="str">
            <v>Trim</v>
          </cell>
          <cell r="N1" t="str">
            <v>FWD OR AWD</v>
          </cell>
          <cell r="O1" t="str">
            <v>Color</v>
          </cell>
          <cell r="P1" t="str">
            <v>Odometer</v>
          </cell>
          <cell r="Q1" t="str">
            <v>Owner</v>
          </cell>
          <cell r="R1" t="str">
            <v>Purchase Date   (BOS/RDR)</v>
          </cell>
          <cell r="S1" t="str">
            <v>Onboard</v>
          </cell>
          <cell r="T1" t="str">
            <v>Offboard</v>
          </cell>
          <cell r="U1" t="str">
            <v>Has Cable?</v>
          </cell>
          <cell r="V1" t="str">
            <v>Accident?</v>
          </cell>
        </row>
        <row r="2">
          <cell r="C2" t="str">
            <v>JTMABACA5PA045254</v>
          </cell>
          <cell r="D2" t="str">
            <v>Offboarded</v>
          </cell>
          <cell r="E2" t="str">
            <v>OB Feb 20, 2025</v>
          </cell>
          <cell r="F2"/>
          <cell r="G2"/>
          <cell r="H2"/>
          <cell r="I2" t="str">
            <v>OR</v>
          </cell>
          <cell r="J2">
            <v>1078</v>
          </cell>
          <cell r="K2">
            <v>2023</v>
          </cell>
          <cell r="L2" t="str">
            <v>bZ4X</v>
          </cell>
          <cell r="M2" t="str">
            <v>XLE AWD</v>
          </cell>
          <cell r="N2"/>
          <cell r="O2" t="str">
            <v>Wind Chill Pearl</v>
          </cell>
          <cell r="P2">
            <v>39210</v>
          </cell>
          <cell r="Q2" t="str">
            <v>TCI</v>
          </cell>
          <cell r="R2">
            <v>45328</v>
          </cell>
          <cell r="S2">
            <v>45328</v>
          </cell>
          <cell r="T2"/>
          <cell r="U2" t="str">
            <v>Stored</v>
          </cell>
          <cell r="V2" t="str">
            <v>No</v>
          </cell>
        </row>
        <row r="3">
          <cell r="C3" t="str">
            <v>JTMAAAAA4PA029083</v>
          </cell>
          <cell r="D3" t="str">
            <v>Offboarded</v>
          </cell>
          <cell r="E3" t="str">
            <v>OB Feb 20, 2025</v>
          </cell>
          <cell r="F3"/>
          <cell r="G3"/>
          <cell r="H3"/>
          <cell r="I3" t="str">
            <v>OR</v>
          </cell>
          <cell r="J3">
            <v>1078</v>
          </cell>
          <cell r="K3">
            <v>2023</v>
          </cell>
          <cell r="L3" t="str">
            <v>bZ4X</v>
          </cell>
          <cell r="M3" t="str">
            <v>LE</v>
          </cell>
          <cell r="N3"/>
          <cell r="O3" t="str">
            <v>Wind Chill Pearl</v>
          </cell>
          <cell r="P3">
            <v>39566</v>
          </cell>
          <cell r="Q3" t="str">
            <v>TCI</v>
          </cell>
          <cell r="R3">
            <v>45328</v>
          </cell>
          <cell r="S3">
            <v>45328</v>
          </cell>
          <cell r="T3"/>
          <cell r="U3" t="str">
            <v>Stored</v>
          </cell>
          <cell r="V3" t="str">
            <v>Yes</v>
          </cell>
        </row>
        <row r="4">
          <cell r="C4" t="str">
            <v>JTMAAAAA8PA028907</v>
          </cell>
          <cell r="D4" t="str">
            <v>Offboarded</v>
          </cell>
          <cell r="E4" t="str">
            <v>OB Feb 20, 2025</v>
          </cell>
          <cell r="F4"/>
          <cell r="G4"/>
          <cell r="H4"/>
          <cell r="I4" t="str">
            <v>OR</v>
          </cell>
          <cell r="J4">
            <v>1078</v>
          </cell>
          <cell r="K4">
            <v>2023</v>
          </cell>
          <cell r="L4" t="str">
            <v>bZ4X</v>
          </cell>
          <cell r="M4" t="str">
            <v>LE</v>
          </cell>
          <cell r="N4"/>
          <cell r="O4" t="str">
            <v>Wind Chill Pearl</v>
          </cell>
          <cell r="P4">
            <v>48902</v>
          </cell>
          <cell r="Q4" t="str">
            <v>TCCI</v>
          </cell>
          <cell r="R4">
            <v>45328</v>
          </cell>
          <cell r="S4">
            <v>45328</v>
          </cell>
          <cell r="T4"/>
          <cell r="U4" t="str">
            <v>Stored</v>
          </cell>
          <cell r="V4" t="str">
            <v>Yes</v>
          </cell>
        </row>
        <row r="5">
          <cell r="C5" t="str">
            <v>JTMABACA7PA044929</v>
          </cell>
          <cell r="D5" t="str">
            <v>Offboarded</v>
          </cell>
          <cell r="E5" t="str">
            <v>OB Feb 20, 2025</v>
          </cell>
          <cell r="F5"/>
          <cell r="G5"/>
          <cell r="H5"/>
          <cell r="I5" t="str">
            <v>OR</v>
          </cell>
          <cell r="J5">
            <v>1078</v>
          </cell>
          <cell r="K5">
            <v>2023</v>
          </cell>
          <cell r="L5" t="str">
            <v>bZ4X</v>
          </cell>
          <cell r="M5" t="str">
            <v>XLE AWD</v>
          </cell>
          <cell r="N5"/>
          <cell r="O5" t="str">
            <v>Element Silver</v>
          </cell>
          <cell r="P5">
            <v>24019</v>
          </cell>
          <cell r="Q5" t="str">
            <v>TCI</v>
          </cell>
          <cell r="R5">
            <v>45328</v>
          </cell>
          <cell r="S5">
            <v>45328</v>
          </cell>
          <cell r="T5"/>
          <cell r="U5" t="str">
            <v>Stored</v>
          </cell>
          <cell r="V5" t="str">
            <v>Yes</v>
          </cell>
        </row>
        <row r="6">
          <cell r="C6" t="str">
            <v>JTMABACA9PA044818</v>
          </cell>
          <cell r="D6" t="str">
            <v>Active</v>
          </cell>
          <cell r="E6">
            <v>45912</v>
          </cell>
          <cell r="F6"/>
          <cell r="G6"/>
          <cell r="H6"/>
          <cell r="I6" t="str">
            <v>OR</v>
          </cell>
          <cell r="J6">
            <v>1078</v>
          </cell>
          <cell r="K6">
            <v>2023</v>
          </cell>
          <cell r="L6" t="str">
            <v>bZ4X</v>
          </cell>
          <cell r="M6" t="str">
            <v>XLE</v>
          </cell>
          <cell r="N6" t="str">
            <v>AWD</v>
          </cell>
          <cell r="O6" t="str">
            <v>Wind Chill Pearl</v>
          </cell>
          <cell r="P6">
            <v>29935</v>
          </cell>
          <cell r="Q6" t="str">
            <v>TCCI</v>
          </cell>
          <cell r="R6">
            <v>45328</v>
          </cell>
          <cell r="S6">
            <v>45328</v>
          </cell>
          <cell r="T6"/>
          <cell r="U6" t="str">
            <v>Stored</v>
          </cell>
          <cell r="V6" t="str">
            <v>Yes</v>
          </cell>
        </row>
        <row r="7">
          <cell r="C7" t="str">
            <v>JTMAAAAA2PA027333</v>
          </cell>
          <cell r="D7" t="str">
            <v>Inactive</v>
          </cell>
          <cell r="E7">
            <v>45929</v>
          </cell>
          <cell r="F7" t="str">
            <v>CVI renewal</v>
          </cell>
          <cell r="G7"/>
          <cell r="H7"/>
          <cell r="I7" t="str">
            <v>JP</v>
          </cell>
          <cell r="J7">
            <v>1088</v>
          </cell>
          <cell r="K7">
            <v>2023</v>
          </cell>
          <cell r="L7" t="str">
            <v>bZ4X</v>
          </cell>
          <cell r="M7" t="str">
            <v>LE</v>
          </cell>
          <cell r="N7" t="str">
            <v>FWD</v>
          </cell>
          <cell r="O7" t="str">
            <v>Element Silver</v>
          </cell>
          <cell r="P7">
            <v>89435</v>
          </cell>
          <cell r="Q7" t="str">
            <v>TCCI</v>
          </cell>
          <cell r="R7">
            <v>45328</v>
          </cell>
          <cell r="S7">
            <v>45328</v>
          </cell>
          <cell r="T7"/>
          <cell r="U7"/>
          <cell r="V7" t="str">
            <v>Yes</v>
          </cell>
        </row>
        <row r="8">
          <cell r="C8" t="str">
            <v>JTMAAAAA6PA023415</v>
          </cell>
          <cell r="D8" t="str">
            <v>Offboarded</v>
          </cell>
          <cell r="E8" t="str">
            <v>Inactive Mar 22</v>
          </cell>
          <cell r="F8"/>
          <cell r="G8"/>
          <cell r="H8"/>
          <cell r="I8" t="str">
            <v>JP</v>
          </cell>
          <cell r="J8">
            <v>1088</v>
          </cell>
          <cell r="K8">
            <v>2023</v>
          </cell>
          <cell r="L8" t="str">
            <v>bZ4X</v>
          </cell>
          <cell r="M8" t="str">
            <v>LE</v>
          </cell>
          <cell r="N8" t="str">
            <v>FWD</v>
          </cell>
          <cell r="O8" t="str">
            <v>Element Silver</v>
          </cell>
          <cell r="P8">
            <v>45512</v>
          </cell>
          <cell r="Q8" t="str">
            <v>TCCI</v>
          </cell>
          <cell r="R8">
            <v>45328</v>
          </cell>
          <cell r="S8">
            <v>45328</v>
          </cell>
          <cell r="T8"/>
          <cell r="U8"/>
          <cell r="V8" t="str">
            <v>No</v>
          </cell>
        </row>
        <row r="9">
          <cell r="C9" t="str">
            <v>JTMABACA5PA045528</v>
          </cell>
          <cell r="D9" t="str">
            <v>Offboarded</v>
          </cell>
          <cell r="E9" t="str">
            <v>Inactive Mar 22</v>
          </cell>
          <cell r="F9" t="str">
            <v>Pending Offboard/CVI</v>
          </cell>
          <cell r="G9"/>
          <cell r="H9"/>
          <cell r="I9" t="str">
            <v>JP</v>
          </cell>
          <cell r="J9">
            <v>1088</v>
          </cell>
          <cell r="K9">
            <v>2023</v>
          </cell>
          <cell r="L9" t="str">
            <v>bZ4X</v>
          </cell>
          <cell r="M9" t="str">
            <v>XLE AWD</v>
          </cell>
          <cell r="N9" t="str">
            <v>FWD</v>
          </cell>
          <cell r="O9" t="str">
            <v>Element Silver</v>
          </cell>
          <cell r="P9">
            <v>35431</v>
          </cell>
          <cell r="Q9" t="str">
            <v>TCCI</v>
          </cell>
          <cell r="R9">
            <v>45328</v>
          </cell>
          <cell r="S9">
            <v>45328</v>
          </cell>
          <cell r="T9"/>
          <cell r="U9"/>
          <cell r="V9" t="str">
            <v>Yes</v>
          </cell>
        </row>
        <row r="10">
          <cell r="C10" t="str">
            <v>JTMABACA7PA042856</v>
          </cell>
          <cell r="D10" t="str">
            <v>Offboarded</v>
          </cell>
          <cell r="E10"/>
          <cell r="F10" t="str">
            <v>Pending Offboard/CVI</v>
          </cell>
          <cell r="G10"/>
          <cell r="H10"/>
          <cell r="I10" t="str">
            <v>JP</v>
          </cell>
          <cell r="J10">
            <v>1088</v>
          </cell>
          <cell r="K10">
            <v>2023</v>
          </cell>
          <cell r="L10" t="str">
            <v>bZ4X</v>
          </cell>
          <cell r="M10" t="str">
            <v>XLE AWD</v>
          </cell>
          <cell r="N10"/>
          <cell r="O10" t="str">
            <v>Heavy Metal</v>
          </cell>
          <cell r="P10">
            <v>41898</v>
          </cell>
          <cell r="Q10" t="str">
            <v>TCCI</v>
          </cell>
          <cell r="R10">
            <v>45328</v>
          </cell>
          <cell r="S10">
            <v>45328</v>
          </cell>
          <cell r="T10"/>
          <cell r="U10"/>
          <cell r="V10" t="str">
            <v>No</v>
          </cell>
        </row>
        <row r="11">
          <cell r="C11" t="str">
            <v>JTMABACA7PA046096</v>
          </cell>
          <cell r="D11" t="str">
            <v>Offboarded</v>
          </cell>
          <cell r="E11"/>
          <cell r="F11" t="str">
            <v>Pending Offboard/CVI</v>
          </cell>
          <cell r="G11"/>
          <cell r="H11"/>
          <cell r="I11" t="str">
            <v>JP</v>
          </cell>
          <cell r="J11">
            <v>1088</v>
          </cell>
          <cell r="K11">
            <v>2023</v>
          </cell>
          <cell r="L11" t="str">
            <v>bZ4X</v>
          </cell>
          <cell r="M11" t="str">
            <v>XLE AWD</v>
          </cell>
          <cell r="N11"/>
          <cell r="O11" t="str">
            <v>Wind Chill Pearl</v>
          </cell>
          <cell r="P11">
            <v>59450</v>
          </cell>
          <cell r="Q11" t="str">
            <v>TCCI</v>
          </cell>
          <cell r="R11">
            <v>45328</v>
          </cell>
          <cell r="S11">
            <v>45328</v>
          </cell>
          <cell r="T11"/>
          <cell r="U11"/>
          <cell r="V11" t="str">
            <v>Yes</v>
          </cell>
        </row>
        <row r="12">
          <cell r="C12" t="str">
            <v>JTMAAAAA7PA027683</v>
          </cell>
          <cell r="D12" t="str">
            <v>Active</v>
          </cell>
          <cell r="E12">
            <v>45896</v>
          </cell>
          <cell r="F12"/>
          <cell r="G12"/>
          <cell r="H12"/>
          <cell r="I12" t="str">
            <v>WT</v>
          </cell>
          <cell r="J12">
            <v>1117</v>
          </cell>
          <cell r="K12">
            <v>2023</v>
          </cell>
          <cell r="L12" t="str">
            <v>bZ4X</v>
          </cell>
          <cell r="M12" t="str">
            <v>LE</v>
          </cell>
          <cell r="N12" t="str">
            <v>FWD</v>
          </cell>
          <cell r="O12" t="str">
            <v>Wind Chill Pearl</v>
          </cell>
          <cell r="P12">
            <v>75774</v>
          </cell>
          <cell r="Q12" t="str">
            <v>TCI</v>
          </cell>
          <cell r="R12">
            <v>45328</v>
          </cell>
          <cell r="S12">
            <v>45328</v>
          </cell>
          <cell r="T12"/>
          <cell r="U12"/>
          <cell r="V12" t="str">
            <v>Yes</v>
          </cell>
        </row>
        <row r="13">
          <cell r="C13" t="str">
            <v>JTMAAAAA9PA026597</v>
          </cell>
          <cell r="D13" t="str">
            <v>Offboarded</v>
          </cell>
          <cell r="E13" t="str">
            <v>OB Feb 20, 2025</v>
          </cell>
          <cell r="F13"/>
          <cell r="G13"/>
          <cell r="H13"/>
          <cell r="I13" t="str">
            <v>WT</v>
          </cell>
          <cell r="J13">
            <v>1117</v>
          </cell>
          <cell r="K13">
            <v>2023</v>
          </cell>
          <cell r="L13" t="str">
            <v>bZ4X</v>
          </cell>
          <cell r="M13" t="str">
            <v>LE</v>
          </cell>
          <cell r="N13"/>
          <cell r="O13" t="str">
            <v>Black</v>
          </cell>
          <cell r="P13">
            <v>34435</v>
          </cell>
          <cell r="Q13" t="str">
            <v>TCI</v>
          </cell>
          <cell r="R13">
            <v>45328</v>
          </cell>
          <cell r="S13">
            <v>45328</v>
          </cell>
          <cell r="T13"/>
          <cell r="U13" t="str">
            <v>Missing</v>
          </cell>
          <cell r="V13" t="str">
            <v>Yes</v>
          </cell>
        </row>
        <row r="14">
          <cell r="C14" t="str">
            <v>JTMABACA5PA045366</v>
          </cell>
          <cell r="D14" t="str">
            <v>Offboarded</v>
          </cell>
          <cell r="E14" t="str">
            <v>OB Feb 20, 2025</v>
          </cell>
          <cell r="F14" t="str">
            <v>Dead battery</v>
          </cell>
          <cell r="G14"/>
          <cell r="H14"/>
          <cell r="I14" t="str">
            <v>WT</v>
          </cell>
          <cell r="J14">
            <v>1117</v>
          </cell>
          <cell r="K14">
            <v>2023</v>
          </cell>
          <cell r="L14" t="str">
            <v>bZ4X</v>
          </cell>
          <cell r="M14" t="str">
            <v>XLE AWD</v>
          </cell>
          <cell r="N14"/>
          <cell r="O14" t="str">
            <v>Wind Chill Pearl</v>
          </cell>
          <cell r="P14">
            <v>31791</v>
          </cell>
          <cell r="Q14" t="str">
            <v>TCI</v>
          </cell>
          <cell r="R14">
            <v>45328</v>
          </cell>
          <cell r="S14">
            <v>45328</v>
          </cell>
          <cell r="T14"/>
          <cell r="U14"/>
          <cell r="V14" t="str">
            <v>Yes</v>
          </cell>
        </row>
        <row r="15">
          <cell r="C15" t="str">
            <v>JTMABACA8PA042963</v>
          </cell>
          <cell r="D15" t="str">
            <v>Offboarded</v>
          </cell>
          <cell r="E15" t="str">
            <v>OB Feb 20, 2025</v>
          </cell>
          <cell r="F15"/>
          <cell r="G15"/>
          <cell r="H15"/>
          <cell r="I15" t="str">
            <v>WT</v>
          </cell>
          <cell r="J15">
            <v>1117</v>
          </cell>
          <cell r="K15">
            <v>2023</v>
          </cell>
          <cell r="L15" t="str">
            <v>bZ4X</v>
          </cell>
          <cell r="M15" t="str">
            <v>XLE AWD</v>
          </cell>
          <cell r="N15"/>
          <cell r="O15" t="str">
            <v>Heavy Metal</v>
          </cell>
          <cell r="P15">
            <v>32851</v>
          </cell>
          <cell r="Q15" t="str">
            <v>TCI</v>
          </cell>
          <cell r="R15">
            <v>45328</v>
          </cell>
          <cell r="S15">
            <v>45328</v>
          </cell>
          <cell r="T15"/>
          <cell r="U15"/>
          <cell r="V15" t="str">
            <v>No</v>
          </cell>
        </row>
        <row r="16">
          <cell r="C16" t="str">
            <v>JTMAAAAA0PA028495</v>
          </cell>
          <cell r="D16" t="str">
            <v>Sold</v>
          </cell>
          <cell r="E16" t="str">
            <v>OB Feb 20, 2025</v>
          </cell>
          <cell r="F16"/>
          <cell r="G16"/>
          <cell r="H16"/>
          <cell r="I16" t="str">
            <v>DB</v>
          </cell>
          <cell r="J16">
            <v>1122</v>
          </cell>
          <cell r="K16">
            <v>2023</v>
          </cell>
          <cell r="L16" t="str">
            <v>bZ4X</v>
          </cell>
          <cell r="M16" t="str">
            <v>LE</v>
          </cell>
          <cell r="N16"/>
          <cell r="O16" t="str">
            <v>Wind Chill Pearl</v>
          </cell>
          <cell r="P16">
            <v>38739</v>
          </cell>
          <cell r="Q16" t="str">
            <v>TCI</v>
          </cell>
          <cell r="R16">
            <v>45328</v>
          </cell>
          <cell r="S16">
            <v>45328</v>
          </cell>
          <cell r="T16"/>
          <cell r="U16"/>
          <cell r="V16" t="str">
            <v>No</v>
          </cell>
        </row>
        <row r="17">
          <cell r="C17" t="str">
            <v>JTMABACA4PA045262</v>
          </cell>
          <cell r="D17" t="str">
            <v>Sold</v>
          </cell>
          <cell r="E17" t="str">
            <v>OB Feb 20, 2025</v>
          </cell>
          <cell r="F17"/>
          <cell r="G17"/>
          <cell r="H17"/>
          <cell r="I17" t="str">
            <v>DB</v>
          </cell>
          <cell r="J17">
            <v>1122</v>
          </cell>
          <cell r="K17">
            <v>2023</v>
          </cell>
          <cell r="L17" t="str">
            <v>bZ4X</v>
          </cell>
          <cell r="M17" t="str">
            <v>XLE AWD</v>
          </cell>
          <cell r="N17"/>
          <cell r="O17" t="str">
            <v>Element Silver</v>
          </cell>
          <cell r="P17">
            <v>38351</v>
          </cell>
          <cell r="Q17" t="str">
            <v>TCI</v>
          </cell>
          <cell r="R17">
            <v>45328</v>
          </cell>
          <cell r="S17">
            <v>45328</v>
          </cell>
          <cell r="T17"/>
          <cell r="U17"/>
          <cell r="V17" t="str">
            <v>Yes</v>
          </cell>
        </row>
        <row r="18">
          <cell r="C18" t="str">
            <v>JTMABACA5PA045139</v>
          </cell>
          <cell r="D18" t="str">
            <v>Sold</v>
          </cell>
          <cell r="E18" t="str">
            <v>OB Feb 20, 2025</v>
          </cell>
          <cell r="F18"/>
          <cell r="G18"/>
          <cell r="H18"/>
          <cell r="I18" t="str">
            <v>DB</v>
          </cell>
          <cell r="J18">
            <v>1122</v>
          </cell>
          <cell r="K18">
            <v>2023</v>
          </cell>
          <cell r="L18" t="str">
            <v>bZ4X</v>
          </cell>
          <cell r="M18" t="str">
            <v>XLE AWD</v>
          </cell>
          <cell r="N18"/>
          <cell r="O18" t="str">
            <v>Wind Chill Pearl</v>
          </cell>
          <cell r="P18">
            <v>47453</v>
          </cell>
          <cell r="Q18" t="str">
            <v>TCI</v>
          </cell>
          <cell r="R18">
            <v>45328</v>
          </cell>
          <cell r="S18">
            <v>45328</v>
          </cell>
          <cell r="T18"/>
          <cell r="U18"/>
          <cell r="V18" t="str">
            <v>No</v>
          </cell>
        </row>
        <row r="19">
          <cell r="C19" t="str">
            <v>JTMABACA2PA045471</v>
          </cell>
          <cell r="D19" t="str">
            <v>Sold</v>
          </cell>
          <cell r="E19" t="str">
            <v>OB Feb 20, 2025</v>
          </cell>
          <cell r="F19"/>
          <cell r="G19"/>
          <cell r="H19"/>
          <cell r="I19" t="str">
            <v>DB</v>
          </cell>
          <cell r="J19">
            <v>1122</v>
          </cell>
          <cell r="K19">
            <v>2023</v>
          </cell>
          <cell r="L19" t="str">
            <v>bZ4X</v>
          </cell>
          <cell r="M19" t="str">
            <v>XLE AWD</v>
          </cell>
          <cell r="N19"/>
          <cell r="O19" t="str">
            <v>Element Silver</v>
          </cell>
          <cell r="P19">
            <v>44327</v>
          </cell>
          <cell r="Q19" t="str">
            <v>TCCI</v>
          </cell>
          <cell r="R19">
            <v>45328</v>
          </cell>
          <cell r="S19">
            <v>45328</v>
          </cell>
          <cell r="T19"/>
          <cell r="U19"/>
          <cell r="V19" t="str">
            <v>No</v>
          </cell>
        </row>
        <row r="20">
          <cell r="C20" t="str">
            <v>JTMAAAAAXPA027970</v>
          </cell>
          <cell r="D20" t="str">
            <v>Active</v>
          </cell>
          <cell r="E20">
            <v>45902</v>
          </cell>
          <cell r="F20"/>
          <cell r="G20"/>
          <cell r="H20"/>
          <cell r="I20" t="str">
            <v>DB</v>
          </cell>
          <cell r="J20">
            <v>1122</v>
          </cell>
          <cell r="K20">
            <v>2023</v>
          </cell>
          <cell r="L20" t="str">
            <v>bZ4X</v>
          </cell>
          <cell r="M20" t="str">
            <v>LE</v>
          </cell>
          <cell r="N20" t="str">
            <v>FWD</v>
          </cell>
          <cell r="O20" t="str">
            <v>Wind Chill Pearl</v>
          </cell>
          <cell r="P20">
            <v>76861</v>
          </cell>
          <cell r="Q20" t="str">
            <v>TCCI</v>
          </cell>
          <cell r="R20">
            <v>45328</v>
          </cell>
          <cell r="S20">
            <v>45329</v>
          </cell>
          <cell r="T20"/>
          <cell r="U20"/>
          <cell r="V20" t="str">
            <v>Yes</v>
          </cell>
        </row>
        <row r="21">
          <cell r="C21" t="str">
            <v>JTMABACA1PA041363</v>
          </cell>
          <cell r="D21" t="str">
            <v>Offboarded</v>
          </cell>
          <cell r="E21"/>
          <cell r="F21" t="str">
            <v>Pending Offboard/CVI</v>
          </cell>
          <cell r="G21"/>
          <cell r="H21"/>
          <cell r="I21" t="str">
            <v>JP</v>
          </cell>
          <cell r="J21">
            <v>1088</v>
          </cell>
          <cell r="K21">
            <v>2023</v>
          </cell>
          <cell r="L21" t="str">
            <v>bZ4X</v>
          </cell>
          <cell r="M21" t="str">
            <v>XLE AWD</v>
          </cell>
          <cell r="N21"/>
          <cell r="O21" t="str">
            <v>Nautical Blue</v>
          </cell>
          <cell r="P21">
            <v>47136</v>
          </cell>
          <cell r="Q21" t="str">
            <v>TCCI</v>
          </cell>
          <cell r="R21">
            <v>45328</v>
          </cell>
          <cell r="S21">
            <v>45328</v>
          </cell>
          <cell r="T21"/>
          <cell r="U21"/>
          <cell r="V21" t="str">
            <v>Yes</v>
          </cell>
        </row>
        <row r="22">
          <cell r="C22" t="str">
            <v>JTDAAAAA8PA008365</v>
          </cell>
          <cell r="D22" t="str">
            <v>Offboarded</v>
          </cell>
          <cell r="E22" t="str">
            <v>Offboarding 3.19</v>
          </cell>
          <cell r="F22"/>
          <cell r="G22"/>
          <cell r="H22"/>
          <cell r="I22" t="str">
            <v>OR</v>
          </cell>
          <cell r="J22">
            <v>1078</v>
          </cell>
          <cell r="K22">
            <v>2023</v>
          </cell>
          <cell r="L22" t="str">
            <v>Mirai</v>
          </cell>
          <cell r="M22" t="str">
            <v>XLE</v>
          </cell>
          <cell r="N22"/>
          <cell r="O22" t="str">
            <v>Supersonic Red</v>
          </cell>
          <cell r="P22">
            <v>20708</v>
          </cell>
          <cell r="Q22" t="str">
            <v>TCI</v>
          </cell>
          <cell r="R22">
            <v>45448</v>
          </cell>
          <cell r="S22">
            <v>45448</v>
          </cell>
          <cell r="T22"/>
          <cell r="U22" t="str">
            <v>N/A</v>
          </cell>
          <cell r="V22" t="str">
            <v>Yes</v>
          </cell>
        </row>
        <row r="23">
          <cell r="C23" t="str">
            <v>JTDAAAAA0RA011490</v>
          </cell>
          <cell r="D23" t="str">
            <v>Offboarded</v>
          </cell>
          <cell r="E23" t="str">
            <v>Inact 02/10/2024</v>
          </cell>
          <cell r="F23" t="str">
            <v>Offboarding</v>
          </cell>
          <cell r="G23"/>
          <cell r="H23"/>
          <cell r="I23" t="str">
            <v>OR</v>
          </cell>
          <cell r="J23">
            <v>1078</v>
          </cell>
          <cell r="K23">
            <v>2024</v>
          </cell>
          <cell r="L23" t="str">
            <v>Mirai</v>
          </cell>
          <cell r="M23" t="str">
            <v>XLE</v>
          </cell>
          <cell r="N23"/>
          <cell r="O23" t="str">
            <v>Oxygen White</v>
          </cell>
          <cell r="P23">
            <v>13504</v>
          </cell>
          <cell r="Q23" t="str">
            <v>TCI</v>
          </cell>
          <cell r="R23">
            <v>45448</v>
          </cell>
          <cell r="S23">
            <v>45448</v>
          </cell>
          <cell r="T23"/>
          <cell r="U23" t="str">
            <v>N/A</v>
          </cell>
          <cell r="V23" t="str">
            <v>Yes</v>
          </cell>
        </row>
        <row r="24">
          <cell r="C24" t="str">
            <v>JTDAAAAA9PA008438</v>
          </cell>
          <cell r="D24" t="str">
            <v>Offboarded</v>
          </cell>
          <cell r="E24" t="str">
            <v>Inact 27/11/2024</v>
          </cell>
          <cell r="F24" t="str">
            <v>Offboarding</v>
          </cell>
          <cell r="G24"/>
          <cell r="H24"/>
          <cell r="I24" t="str">
            <v>WT</v>
          </cell>
          <cell r="J24">
            <v>1117</v>
          </cell>
          <cell r="K24">
            <v>2023</v>
          </cell>
          <cell r="L24" t="str">
            <v>Mirai</v>
          </cell>
          <cell r="M24" t="str">
            <v>XLE</v>
          </cell>
          <cell r="N24"/>
          <cell r="O24" t="str">
            <v>Oxygen White</v>
          </cell>
          <cell r="P24">
            <v>182</v>
          </cell>
          <cell r="Q24" t="str">
            <v>TCI</v>
          </cell>
          <cell r="R24">
            <v>45448</v>
          </cell>
          <cell r="S24">
            <v>45448</v>
          </cell>
          <cell r="T24"/>
          <cell r="U24" t="str">
            <v>N/A</v>
          </cell>
          <cell r="V24" t="str">
            <v>No</v>
          </cell>
        </row>
        <row r="25">
          <cell r="C25" t="str">
            <v>JTDAAAAA3PA008371</v>
          </cell>
          <cell r="D25" t="str">
            <v>Offboarded</v>
          </cell>
          <cell r="E25" t="str">
            <v>Inact 27/11/2024</v>
          </cell>
          <cell r="F25" t="str">
            <v>Offboarding</v>
          </cell>
          <cell r="G25"/>
          <cell r="H25"/>
          <cell r="I25" t="str">
            <v>DB</v>
          </cell>
          <cell r="J25">
            <v>1122</v>
          </cell>
          <cell r="K25">
            <v>2023</v>
          </cell>
          <cell r="L25" t="str">
            <v>Mirai</v>
          </cell>
          <cell r="M25" t="str">
            <v>XLE</v>
          </cell>
          <cell r="N25"/>
          <cell r="O25" t="str">
            <v>Hydro Blue</v>
          </cell>
          <cell r="P25">
            <v>311</v>
          </cell>
          <cell r="Q25" t="str">
            <v>TCI</v>
          </cell>
          <cell r="R25">
            <v>45448</v>
          </cell>
          <cell r="S25">
            <v>45448</v>
          </cell>
          <cell r="T25"/>
          <cell r="U25" t="str">
            <v>N/A</v>
          </cell>
          <cell r="V25" t="str">
            <v>No</v>
          </cell>
        </row>
        <row r="26">
          <cell r="C26" t="str">
            <v>JTDAAAAA7RA011566</v>
          </cell>
          <cell r="D26" t="str">
            <v>Offboarded</v>
          </cell>
          <cell r="E26" t="str">
            <v>OB Oct 31, 2024</v>
          </cell>
          <cell r="F26" t="str">
            <v>Offboarding</v>
          </cell>
          <cell r="G26"/>
          <cell r="H26"/>
          <cell r="I26" t="str">
            <v>DB</v>
          </cell>
          <cell r="J26">
            <v>1122</v>
          </cell>
          <cell r="K26">
            <v>2024</v>
          </cell>
          <cell r="L26" t="str">
            <v>Mirai</v>
          </cell>
          <cell r="M26" t="str">
            <v>XLE</v>
          </cell>
          <cell r="N26"/>
          <cell r="O26" t="str">
            <v>Oxygen White</v>
          </cell>
          <cell r="P26">
            <v>20576</v>
          </cell>
          <cell r="Q26" t="str">
            <v>TCI</v>
          </cell>
          <cell r="R26">
            <v>45448</v>
          </cell>
          <cell r="S26">
            <v>45448</v>
          </cell>
          <cell r="T26"/>
          <cell r="U26" t="str">
            <v>N/A</v>
          </cell>
          <cell r="V26" t="str">
            <v>No</v>
          </cell>
        </row>
        <row r="27">
          <cell r="C27" t="str">
            <v>JTDAAAAAXRA011657</v>
          </cell>
          <cell r="D27" t="str">
            <v>Offboarded</v>
          </cell>
          <cell r="E27" t="str">
            <v>OB Oct 8, 2024</v>
          </cell>
          <cell r="F27" t="str">
            <v>Offboarding</v>
          </cell>
          <cell r="G27"/>
          <cell r="H27"/>
          <cell r="I27" t="str">
            <v>DB</v>
          </cell>
          <cell r="J27">
            <v>1122</v>
          </cell>
          <cell r="K27">
            <v>2024</v>
          </cell>
          <cell r="L27" t="str">
            <v>Mirai</v>
          </cell>
          <cell r="M27" t="str">
            <v>XLE</v>
          </cell>
          <cell r="N27"/>
          <cell r="O27" t="str">
            <v>Oxygen White</v>
          </cell>
          <cell r="P27">
            <v>11600</v>
          </cell>
          <cell r="Q27" t="str">
            <v>TCCI</v>
          </cell>
          <cell r="R27">
            <v>45448</v>
          </cell>
          <cell r="S27">
            <v>45448</v>
          </cell>
          <cell r="T27"/>
          <cell r="U27" t="str">
            <v>N/A</v>
          </cell>
          <cell r="V27" t="str">
            <v>Yes</v>
          </cell>
        </row>
        <row r="28">
          <cell r="C28" t="str">
            <v>JTDAAAAA3RA011645</v>
          </cell>
          <cell r="D28" t="str">
            <v>Offboarded</v>
          </cell>
          <cell r="E28"/>
          <cell r="F28" t="str">
            <v>Offboarding</v>
          </cell>
          <cell r="G28"/>
          <cell r="H28"/>
          <cell r="I28" t="str">
            <v>WT</v>
          </cell>
          <cell r="J28">
            <v>1117</v>
          </cell>
          <cell r="K28">
            <v>2024</v>
          </cell>
          <cell r="L28" t="str">
            <v>Mirai</v>
          </cell>
          <cell r="M28" t="str">
            <v>XLE</v>
          </cell>
          <cell r="N28"/>
          <cell r="O28" t="str">
            <v>Oxygen White</v>
          </cell>
          <cell r="P28">
            <v>13709</v>
          </cell>
          <cell r="Q28" t="str">
            <v>TCCI</v>
          </cell>
          <cell r="R28">
            <v>45448</v>
          </cell>
          <cell r="S28">
            <v>45448</v>
          </cell>
          <cell r="T28"/>
          <cell r="U28" t="str">
            <v>N/A</v>
          </cell>
          <cell r="V28" t="str">
            <v>Yes</v>
          </cell>
        </row>
        <row r="29">
          <cell r="C29" t="str">
            <v>JTDAAAAA5RA011663</v>
          </cell>
          <cell r="D29" t="str">
            <v>Offboarded</v>
          </cell>
          <cell r="E29"/>
          <cell r="F29" t="str">
            <v>Offboarding</v>
          </cell>
          <cell r="G29"/>
          <cell r="H29"/>
          <cell r="I29" t="str">
            <v>WT</v>
          </cell>
          <cell r="J29">
            <v>1117</v>
          </cell>
          <cell r="K29">
            <v>2024</v>
          </cell>
          <cell r="L29" t="str">
            <v>Mirai</v>
          </cell>
          <cell r="M29" t="str">
            <v>XLE</v>
          </cell>
          <cell r="N29"/>
          <cell r="O29" t="str">
            <v>Oxygen White</v>
          </cell>
          <cell r="P29">
            <v>11411</v>
          </cell>
          <cell r="Q29" t="str">
            <v>TCCI</v>
          </cell>
          <cell r="R29">
            <v>45448</v>
          </cell>
          <cell r="S29">
            <v>45448</v>
          </cell>
          <cell r="T29"/>
          <cell r="U29" t="str">
            <v>N/A</v>
          </cell>
          <cell r="V29" t="str">
            <v>No</v>
          </cell>
        </row>
        <row r="30">
          <cell r="C30" t="str">
            <v>JTDAAAAA2RA011684</v>
          </cell>
          <cell r="D30" t="str">
            <v>Offboarded</v>
          </cell>
          <cell r="E30"/>
          <cell r="F30" t="str">
            <v>Offboarding</v>
          </cell>
          <cell r="G30"/>
          <cell r="H30"/>
          <cell r="I30" t="str">
            <v>WT</v>
          </cell>
          <cell r="J30">
            <v>1117</v>
          </cell>
          <cell r="K30">
            <v>2024</v>
          </cell>
          <cell r="L30" t="str">
            <v>Mirai</v>
          </cell>
          <cell r="M30" t="str">
            <v>XLE</v>
          </cell>
          <cell r="N30"/>
          <cell r="O30" t="str">
            <v>Oxygen White</v>
          </cell>
          <cell r="P30">
            <v>12648</v>
          </cell>
          <cell r="Q30" t="str">
            <v>TCCI</v>
          </cell>
          <cell r="R30">
            <v>45448</v>
          </cell>
          <cell r="S30">
            <v>45448</v>
          </cell>
          <cell r="T30"/>
          <cell r="U30" t="str">
            <v>N/A</v>
          </cell>
          <cell r="V30" t="str">
            <v>No</v>
          </cell>
        </row>
        <row r="31">
          <cell r="C31" t="str">
            <v>JTDAAAAA7RA011633</v>
          </cell>
          <cell r="D31" t="str">
            <v>Offboarded</v>
          </cell>
          <cell r="E31" t="str">
            <v>Offboard Oct 31</v>
          </cell>
          <cell r="F31" t="str">
            <v>Offboarding</v>
          </cell>
          <cell r="G31"/>
          <cell r="H31"/>
          <cell r="I31" t="str">
            <v>OR</v>
          </cell>
          <cell r="J31">
            <v>1078</v>
          </cell>
          <cell r="K31">
            <v>2024</v>
          </cell>
          <cell r="L31" t="str">
            <v>Mirai</v>
          </cell>
          <cell r="M31" t="str">
            <v>XLE</v>
          </cell>
          <cell r="N31"/>
          <cell r="O31" t="str">
            <v>Oxygen White</v>
          </cell>
          <cell r="P31">
            <v>11881</v>
          </cell>
          <cell r="Q31" t="str">
            <v>TCCI</v>
          </cell>
          <cell r="R31">
            <v>45453</v>
          </cell>
          <cell r="S31">
            <v>45453</v>
          </cell>
          <cell r="U31" t="str">
            <v>N/A</v>
          </cell>
          <cell r="V31" t="str">
            <v>No</v>
          </cell>
        </row>
        <row r="32">
          <cell r="C32" t="str">
            <v>JTDAAAAAXRA011691</v>
          </cell>
          <cell r="D32" t="str">
            <v>Offboarded</v>
          </cell>
          <cell r="E32" t="str">
            <v>Inactive Feb 20</v>
          </cell>
          <cell r="F32" t="str">
            <v>Dead battery</v>
          </cell>
          <cell r="G32"/>
          <cell r="H32"/>
          <cell r="I32" t="str">
            <v>OR</v>
          </cell>
          <cell r="J32">
            <v>1078</v>
          </cell>
          <cell r="K32">
            <v>2024</v>
          </cell>
          <cell r="L32" t="str">
            <v>Mirai</v>
          </cell>
          <cell r="M32" t="str">
            <v>XLE</v>
          </cell>
          <cell r="N32"/>
          <cell r="O32" t="str">
            <v>Oxygen White</v>
          </cell>
          <cell r="P32">
            <v>38</v>
          </cell>
          <cell r="Q32" t="str">
            <v>TCI</v>
          </cell>
          <cell r="R32">
            <v>45610</v>
          </cell>
          <cell r="S32">
            <v>45636</v>
          </cell>
          <cell r="T32"/>
          <cell r="U32" t="str">
            <v>N/A</v>
          </cell>
          <cell r="V32" t="str">
            <v>No</v>
          </cell>
        </row>
        <row r="33">
          <cell r="C33" t="str">
            <v>JTDAAAAA6RA011705</v>
          </cell>
          <cell r="D33" t="str">
            <v>Offboarded</v>
          </cell>
          <cell r="E33" t="str">
            <v>OB Mar 19, 2025</v>
          </cell>
          <cell r="F33"/>
          <cell r="G33"/>
          <cell r="H33"/>
          <cell r="I33" t="str">
            <v>WT</v>
          </cell>
          <cell r="J33">
            <v>1117</v>
          </cell>
          <cell r="K33">
            <v>2024</v>
          </cell>
          <cell r="L33" t="str">
            <v>Mirai</v>
          </cell>
          <cell r="M33" t="str">
            <v>XLE</v>
          </cell>
          <cell r="N33"/>
          <cell r="O33" t="str">
            <v>Oxygen White</v>
          </cell>
          <cell r="P33">
            <v>12502</v>
          </cell>
          <cell r="Q33" t="str">
            <v>TCCI</v>
          </cell>
          <cell r="R33">
            <v>45622</v>
          </cell>
          <cell r="S33">
            <v>45622</v>
          </cell>
          <cell r="U33" t="str">
            <v>N/A</v>
          </cell>
          <cell r="V33" t="str">
            <v>No</v>
          </cell>
        </row>
        <row r="34">
          <cell r="C34" t="str">
            <v>JTDAAAAA7RA011714</v>
          </cell>
          <cell r="D34" t="str">
            <v>Offboarded</v>
          </cell>
          <cell r="E34" t="str">
            <v>OB Mar 19, 2025</v>
          </cell>
          <cell r="F34"/>
          <cell r="G34"/>
          <cell r="H34"/>
          <cell r="I34" t="str">
            <v>WT</v>
          </cell>
          <cell r="J34">
            <v>1117</v>
          </cell>
          <cell r="K34">
            <v>2024</v>
          </cell>
          <cell r="L34" t="str">
            <v>Mirai</v>
          </cell>
          <cell r="M34" t="str">
            <v>XLE</v>
          </cell>
          <cell r="N34"/>
          <cell r="O34" t="str">
            <v>Oxygen White</v>
          </cell>
          <cell r="P34">
            <v>3661</v>
          </cell>
          <cell r="Q34" t="str">
            <v>TCCI</v>
          </cell>
          <cell r="R34">
            <v>45622</v>
          </cell>
          <cell r="S34">
            <v>45622</v>
          </cell>
          <cell r="T34"/>
          <cell r="U34" t="str">
            <v>N/A</v>
          </cell>
          <cell r="V34" t="str">
            <v>No</v>
          </cell>
        </row>
        <row r="35">
          <cell r="C35" t="str">
            <v>JTDAAAAAXRA011724</v>
          </cell>
          <cell r="D35" t="str">
            <v>Offboarded</v>
          </cell>
          <cell r="E35" t="str">
            <v>OB Mar 19, 2025</v>
          </cell>
          <cell r="F35"/>
          <cell r="G35"/>
          <cell r="H35"/>
          <cell r="I35" t="str">
            <v>WT</v>
          </cell>
          <cell r="J35">
            <v>1117</v>
          </cell>
          <cell r="K35">
            <v>2024</v>
          </cell>
          <cell r="L35" t="str">
            <v>Mirai</v>
          </cell>
          <cell r="M35" t="str">
            <v>XLE</v>
          </cell>
          <cell r="N35"/>
          <cell r="O35" t="str">
            <v>Oxygen White</v>
          </cell>
          <cell r="P35">
            <v>9310</v>
          </cell>
          <cell r="Q35" t="str">
            <v>TCCI</v>
          </cell>
          <cell r="R35">
            <v>45622</v>
          </cell>
          <cell r="S35">
            <v>45622</v>
          </cell>
          <cell r="T35"/>
          <cell r="U35" t="str">
            <v>N/A</v>
          </cell>
          <cell r="V35" t="str">
            <v>No</v>
          </cell>
        </row>
        <row r="36">
          <cell r="C36" t="str">
            <v>JTDAAAAAXRA011741</v>
          </cell>
          <cell r="D36" t="str">
            <v>Offboarded</v>
          </cell>
          <cell r="E36" t="str">
            <v>OB Mar 19, 2025</v>
          </cell>
          <cell r="F36"/>
          <cell r="G36"/>
          <cell r="H36"/>
          <cell r="I36" t="str">
            <v>DB</v>
          </cell>
          <cell r="J36">
            <v>1122</v>
          </cell>
          <cell r="K36">
            <v>2024</v>
          </cell>
          <cell r="L36" t="str">
            <v>Mirai</v>
          </cell>
          <cell r="M36" t="str">
            <v>XLE</v>
          </cell>
          <cell r="N36"/>
          <cell r="O36" t="str">
            <v>Oxygen White</v>
          </cell>
          <cell r="P36">
            <v>5925</v>
          </cell>
          <cell r="Q36" t="str">
            <v>TCCI</v>
          </cell>
          <cell r="R36">
            <v>45632</v>
          </cell>
          <cell r="S36">
            <v>45636</v>
          </cell>
          <cell r="T36"/>
          <cell r="U36" t="str">
            <v>N/A</v>
          </cell>
          <cell r="V36" t="str">
            <v>No</v>
          </cell>
        </row>
        <row r="37">
          <cell r="C37" t="str">
            <v>JTMAAAAAXRA050104</v>
          </cell>
          <cell r="D37" t="str">
            <v>Active</v>
          </cell>
          <cell r="E37">
            <v>45887</v>
          </cell>
          <cell r="F37"/>
          <cell r="G37"/>
          <cell r="H37"/>
          <cell r="I37" t="str">
            <v>DB</v>
          </cell>
          <cell r="J37">
            <v>1122</v>
          </cell>
          <cell r="K37">
            <v>2024</v>
          </cell>
          <cell r="L37" t="str">
            <v>bZ4X</v>
          </cell>
          <cell r="M37" t="str">
            <v>LE</v>
          </cell>
          <cell r="N37" t="str">
            <v>FWD</v>
          </cell>
          <cell r="O37" t="str">
            <v>Black</v>
          </cell>
          <cell r="P37">
            <v>22413</v>
          </cell>
          <cell r="Q37" t="str">
            <v>TCI</v>
          </cell>
          <cell r="R37">
            <v>45637</v>
          </cell>
          <cell r="S37">
            <v>45635</v>
          </cell>
          <cell r="T37"/>
          <cell r="U37"/>
          <cell r="V37" t="str">
            <v>Yes</v>
          </cell>
        </row>
        <row r="38">
          <cell r="C38" t="str">
            <v>JTMAAAAA8RA050148</v>
          </cell>
          <cell r="D38" t="str">
            <v>Active</v>
          </cell>
          <cell r="E38">
            <v>45782</v>
          </cell>
          <cell r="F38"/>
          <cell r="G38"/>
          <cell r="H38"/>
          <cell r="I38" t="str">
            <v>DB</v>
          </cell>
          <cell r="J38">
            <v>1122</v>
          </cell>
          <cell r="K38">
            <v>2024</v>
          </cell>
          <cell r="L38" t="str">
            <v>bZ4X</v>
          </cell>
          <cell r="M38" t="str">
            <v>LE</v>
          </cell>
          <cell r="N38" t="str">
            <v>FWD</v>
          </cell>
          <cell r="O38" t="str">
            <v>Black</v>
          </cell>
          <cell r="P38">
            <v>30800</v>
          </cell>
          <cell r="Q38" t="str">
            <v>TCI</v>
          </cell>
          <cell r="R38">
            <v>45637</v>
          </cell>
          <cell r="S38">
            <v>45635</v>
          </cell>
          <cell r="T38"/>
          <cell r="U38"/>
          <cell r="V38" t="str">
            <v>No</v>
          </cell>
        </row>
        <row r="39">
          <cell r="C39" t="str">
            <v>JTMAAAAA5RA050253</v>
          </cell>
          <cell r="D39" t="str">
            <v>Active</v>
          </cell>
          <cell r="E39" t="str">
            <v>Active 6 Jan 2025</v>
          </cell>
          <cell r="F39"/>
          <cell r="G39"/>
          <cell r="H39"/>
          <cell r="I39" t="str">
            <v>DB</v>
          </cell>
          <cell r="J39">
            <v>1122</v>
          </cell>
          <cell r="K39">
            <v>2024</v>
          </cell>
          <cell r="L39" t="str">
            <v>bZ4X</v>
          </cell>
          <cell r="M39" t="str">
            <v>LE</v>
          </cell>
          <cell r="N39" t="str">
            <v>FWD</v>
          </cell>
          <cell r="O39" t="str">
            <v>Black</v>
          </cell>
          <cell r="P39">
            <v>30932</v>
          </cell>
          <cell r="Q39" t="str">
            <v>TCI</v>
          </cell>
          <cell r="R39">
            <v>45637</v>
          </cell>
          <cell r="S39">
            <v>45635</v>
          </cell>
          <cell r="T39"/>
          <cell r="U39"/>
          <cell r="V39" t="str">
            <v>No</v>
          </cell>
        </row>
        <row r="40">
          <cell r="C40" t="str">
            <v>JTMAAAAA5RA050334</v>
          </cell>
          <cell r="D40" t="str">
            <v>Active</v>
          </cell>
          <cell r="E40" t="str">
            <v>Active 6 Jan 2025</v>
          </cell>
          <cell r="F40"/>
          <cell r="G40"/>
          <cell r="H40"/>
          <cell r="I40" t="str">
            <v>DB</v>
          </cell>
          <cell r="J40">
            <v>1122</v>
          </cell>
          <cell r="K40">
            <v>2024</v>
          </cell>
          <cell r="L40" t="str">
            <v>bZ4X</v>
          </cell>
          <cell r="M40" t="str">
            <v>LE</v>
          </cell>
          <cell r="N40" t="str">
            <v>FWD</v>
          </cell>
          <cell r="O40" t="str">
            <v>Black</v>
          </cell>
          <cell r="P40">
            <v>36433</v>
          </cell>
          <cell r="Q40" t="str">
            <v>TCI</v>
          </cell>
          <cell r="R40">
            <v>45637</v>
          </cell>
          <cell r="S40">
            <v>45635</v>
          </cell>
          <cell r="T40"/>
          <cell r="U40"/>
          <cell r="V40" t="str">
            <v>No</v>
          </cell>
        </row>
        <row r="41">
          <cell r="C41" t="str">
            <v>JTMAAAAA6RA050388</v>
          </cell>
          <cell r="D41" t="str">
            <v>Inactive - Repair</v>
          </cell>
          <cell r="E41" t="str">
            <v>Active 6 Jan 2025</v>
          </cell>
          <cell r="F41" t="str">
            <v xml:space="preserve">ICBC pending </v>
          </cell>
          <cell r="G41" t="str">
            <v>CZ20092-0</v>
          </cell>
          <cell r="H41" t="str">
            <v>Ebony Gibson ebony.gibson@icbc.com</v>
          </cell>
          <cell r="I41" t="str">
            <v>DB</v>
          </cell>
          <cell r="J41">
            <v>1122</v>
          </cell>
          <cell r="K41">
            <v>2024</v>
          </cell>
          <cell r="L41" t="str">
            <v>bZ4X</v>
          </cell>
          <cell r="M41" t="str">
            <v>LE</v>
          </cell>
          <cell r="N41" t="str">
            <v>FWD</v>
          </cell>
          <cell r="O41" t="str">
            <v>Black</v>
          </cell>
          <cell r="P41">
            <v>38373</v>
          </cell>
          <cell r="Q41" t="str">
            <v>TCI</v>
          </cell>
          <cell r="R41">
            <v>45637</v>
          </cell>
          <cell r="S41">
            <v>45635</v>
          </cell>
          <cell r="T41"/>
          <cell r="U41"/>
          <cell r="V41" t="str">
            <v>No</v>
          </cell>
        </row>
        <row r="42">
          <cell r="C42" t="str">
            <v>JTMAAAAA5RA050706</v>
          </cell>
          <cell r="D42" t="str">
            <v>Active</v>
          </cell>
          <cell r="E42" t="str">
            <v>Active 6 Jan 2025</v>
          </cell>
          <cell r="F42"/>
          <cell r="G42"/>
          <cell r="H42"/>
          <cell r="I42" t="str">
            <v>DB</v>
          </cell>
          <cell r="J42">
            <v>1122</v>
          </cell>
          <cell r="K42">
            <v>2024</v>
          </cell>
          <cell r="L42" t="str">
            <v>bZ4X</v>
          </cell>
          <cell r="M42" t="str">
            <v>LE</v>
          </cell>
          <cell r="N42" t="str">
            <v>FWD</v>
          </cell>
          <cell r="O42" t="str">
            <v>Nautical Blue</v>
          </cell>
          <cell r="P42">
            <v>47646</v>
          </cell>
          <cell r="Q42" t="str">
            <v>TCI</v>
          </cell>
          <cell r="R42">
            <v>45637</v>
          </cell>
          <cell r="S42">
            <v>45635</v>
          </cell>
          <cell r="T42"/>
          <cell r="U42"/>
          <cell r="V42" t="str">
            <v>No</v>
          </cell>
        </row>
        <row r="43">
          <cell r="C43" t="str">
            <v>JTMAAAAA8RA050716</v>
          </cell>
          <cell r="D43" t="str">
            <v>Active</v>
          </cell>
          <cell r="E43">
            <v>45735</v>
          </cell>
          <cell r="F43"/>
          <cell r="G43"/>
          <cell r="H43"/>
          <cell r="I43" t="str">
            <v>DB</v>
          </cell>
          <cell r="J43">
            <v>1122</v>
          </cell>
          <cell r="K43">
            <v>2024</v>
          </cell>
          <cell r="L43" t="str">
            <v>bZ4X</v>
          </cell>
          <cell r="M43" t="str">
            <v>LE</v>
          </cell>
          <cell r="N43" t="str">
            <v>FWD</v>
          </cell>
          <cell r="O43" t="str">
            <v>Nautical Blue</v>
          </cell>
          <cell r="P43">
            <v>32147</v>
          </cell>
          <cell r="Q43" t="str">
            <v>TCI</v>
          </cell>
          <cell r="R43">
            <v>45637</v>
          </cell>
          <cell r="S43">
            <v>45635</v>
          </cell>
          <cell r="T43"/>
          <cell r="U43"/>
          <cell r="V43" t="str">
            <v>No</v>
          </cell>
        </row>
        <row r="44">
          <cell r="C44" t="str">
            <v>JTMAAAAA1RA050816</v>
          </cell>
          <cell r="D44" t="str">
            <v>Active</v>
          </cell>
          <cell r="E44">
            <v>45894</v>
          </cell>
          <cell r="F44"/>
          <cell r="G44"/>
          <cell r="H44"/>
          <cell r="I44" t="str">
            <v>DB</v>
          </cell>
          <cell r="J44">
            <v>1122</v>
          </cell>
          <cell r="K44">
            <v>2024</v>
          </cell>
          <cell r="L44" t="str">
            <v>bZ4X</v>
          </cell>
          <cell r="M44" t="str">
            <v>LE</v>
          </cell>
          <cell r="N44" t="str">
            <v>FWD</v>
          </cell>
          <cell r="O44" t="str">
            <v>Nautical Blue</v>
          </cell>
          <cell r="P44">
            <v>20630</v>
          </cell>
          <cell r="Q44" t="str">
            <v>TCI</v>
          </cell>
          <cell r="R44">
            <v>45637</v>
          </cell>
          <cell r="S44">
            <v>45635</v>
          </cell>
          <cell r="T44"/>
          <cell r="U44"/>
          <cell r="V44" t="str">
            <v>Yes</v>
          </cell>
        </row>
        <row r="45">
          <cell r="C45" t="str">
            <v>JTMAAAAA0RA050998</v>
          </cell>
          <cell r="D45" t="str">
            <v>Active</v>
          </cell>
          <cell r="E45">
            <v>45808</v>
          </cell>
          <cell r="F45"/>
          <cell r="G45"/>
          <cell r="H45"/>
          <cell r="I45" t="str">
            <v>DB</v>
          </cell>
          <cell r="J45">
            <v>1122</v>
          </cell>
          <cell r="K45">
            <v>2024</v>
          </cell>
          <cell r="L45" t="str">
            <v>bZ4X</v>
          </cell>
          <cell r="M45" t="str">
            <v>LE</v>
          </cell>
          <cell r="N45" t="str">
            <v>FWD</v>
          </cell>
          <cell r="O45" t="str">
            <v>Nautical Blue</v>
          </cell>
          <cell r="P45">
            <v>26034</v>
          </cell>
          <cell r="Q45" t="str">
            <v>TCI</v>
          </cell>
          <cell r="R45">
            <v>45637</v>
          </cell>
          <cell r="S45">
            <v>45636</v>
          </cell>
          <cell r="T45"/>
          <cell r="U45"/>
          <cell r="V45" t="str">
            <v>No</v>
          </cell>
        </row>
        <row r="46">
          <cell r="C46" t="str">
            <v>JTMAAAAA4RA051104</v>
          </cell>
          <cell r="D46" t="str">
            <v>Active</v>
          </cell>
          <cell r="E46" t="str">
            <v>Active 6 Jan 2025</v>
          </cell>
          <cell r="F46"/>
          <cell r="G46"/>
          <cell r="H46"/>
          <cell r="I46" t="str">
            <v>DB</v>
          </cell>
          <cell r="J46">
            <v>1122</v>
          </cell>
          <cell r="K46">
            <v>2024</v>
          </cell>
          <cell r="L46" t="str">
            <v>bZ4X</v>
          </cell>
          <cell r="M46" t="str">
            <v>LE</v>
          </cell>
          <cell r="N46" t="str">
            <v>FWD</v>
          </cell>
          <cell r="O46" t="str">
            <v>Nautical Blue</v>
          </cell>
          <cell r="P46">
            <v>36906</v>
          </cell>
          <cell r="Q46" t="str">
            <v>TCI</v>
          </cell>
          <cell r="R46">
            <v>45637</v>
          </cell>
          <cell r="S46">
            <v>45635</v>
          </cell>
          <cell r="T46"/>
          <cell r="U46"/>
          <cell r="V46" t="str">
            <v>No</v>
          </cell>
        </row>
        <row r="47">
          <cell r="C47" t="str">
            <v>JTMAAAAA5RA051242</v>
          </cell>
          <cell r="D47" t="str">
            <v>Inactive - Repair</v>
          </cell>
          <cell r="E47">
            <v>45898</v>
          </cell>
          <cell r="F47" t="str">
            <v xml:space="preserve">Repair in Progress </v>
          </cell>
          <cell r="G47" t="str">
            <v>CY83747-6 Abdishukri Sheikh</v>
          </cell>
          <cell r="H47"/>
          <cell r="I47" t="str">
            <v>DB</v>
          </cell>
          <cell r="J47">
            <v>1122</v>
          </cell>
          <cell r="K47">
            <v>2024</v>
          </cell>
          <cell r="L47" t="str">
            <v>bZ4X</v>
          </cell>
          <cell r="M47" t="str">
            <v>LE</v>
          </cell>
          <cell r="N47" t="str">
            <v>FWD</v>
          </cell>
          <cell r="O47" t="str">
            <v>Nautical Blue</v>
          </cell>
          <cell r="P47">
            <v>22055</v>
          </cell>
          <cell r="Q47" t="str">
            <v>TCI</v>
          </cell>
          <cell r="R47">
            <v>45637</v>
          </cell>
          <cell r="S47">
            <v>45635</v>
          </cell>
          <cell r="T47"/>
          <cell r="U47"/>
          <cell r="V47" t="str">
            <v>No</v>
          </cell>
        </row>
        <row r="48">
          <cell r="C48" t="str">
            <v>JTMAAAAA3RA051224</v>
          </cell>
          <cell r="D48" t="str">
            <v>Active</v>
          </cell>
          <cell r="E48" t="str">
            <v>Active 6 Jan 2025</v>
          </cell>
          <cell r="F48"/>
          <cell r="G48"/>
          <cell r="H48"/>
          <cell r="I48" t="str">
            <v>DB</v>
          </cell>
          <cell r="J48">
            <v>1122</v>
          </cell>
          <cell r="K48">
            <v>2024</v>
          </cell>
          <cell r="L48" t="str">
            <v>bZ4X</v>
          </cell>
          <cell r="M48" t="str">
            <v>LE</v>
          </cell>
          <cell r="N48" t="str">
            <v>FWD</v>
          </cell>
          <cell r="O48" t="str">
            <v>Nautical Blue</v>
          </cell>
          <cell r="P48">
            <v>29987</v>
          </cell>
          <cell r="Q48" t="str">
            <v>TCI</v>
          </cell>
          <cell r="R48">
            <v>45637</v>
          </cell>
          <cell r="S48">
            <v>45635</v>
          </cell>
          <cell r="T48"/>
          <cell r="U48"/>
          <cell r="V48" t="str">
            <v>No</v>
          </cell>
        </row>
        <row r="49">
          <cell r="C49" t="str">
            <v>JTMAAAAA2RA051361</v>
          </cell>
          <cell r="D49" t="str">
            <v>Active</v>
          </cell>
          <cell r="E49">
            <v>45853</v>
          </cell>
          <cell r="F49"/>
          <cell r="G49"/>
          <cell r="H49"/>
          <cell r="I49" t="str">
            <v>DB</v>
          </cell>
          <cell r="J49">
            <v>1122</v>
          </cell>
          <cell r="K49">
            <v>2024</v>
          </cell>
          <cell r="L49" t="str">
            <v>bZ4X</v>
          </cell>
          <cell r="M49" t="str">
            <v>LE</v>
          </cell>
          <cell r="N49" t="str">
            <v>FWD</v>
          </cell>
          <cell r="O49" t="str">
            <v>Nautical Blue</v>
          </cell>
          <cell r="P49">
            <v>29127</v>
          </cell>
          <cell r="Q49" t="str">
            <v>TCI</v>
          </cell>
          <cell r="R49">
            <v>45637</v>
          </cell>
          <cell r="S49">
            <v>45635</v>
          </cell>
          <cell r="T49"/>
          <cell r="U49"/>
          <cell r="V49" t="str">
            <v>No</v>
          </cell>
        </row>
        <row r="50">
          <cell r="C50" t="str">
            <v>JTMAAAAA2RA049660</v>
          </cell>
          <cell r="D50" t="str">
            <v>Active</v>
          </cell>
          <cell r="E50">
            <v>45917</v>
          </cell>
          <cell r="F50"/>
          <cell r="G50"/>
          <cell r="H50"/>
          <cell r="I50" t="str">
            <v>OR</v>
          </cell>
          <cell r="J50">
            <v>1078</v>
          </cell>
          <cell r="K50">
            <v>2024</v>
          </cell>
          <cell r="L50" t="str">
            <v>bZ4X</v>
          </cell>
          <cell r="M50" t="str">
            <v>LE</v>
          </cell>
          <cell r="N50" t="str">
            <v>FWD</v>
          </cell>
          <cell r="O50" t="str">
            <v>Black</v>
          </cell>
          <cell r="P50">
            <v>20781</v>
          </cell>
          <cell r="Q50" t="str">
            <v>TCI</v>
          </cell>
          <cell r="R50">
            <v>45637</v>
          </cell>
          <cell r="S50">
            <v>45635</v>
          </cell>
          <cell r="T50"/>
          <cell r="U50"/>
          <cell r="V50" t="str">
            <v>No</v>
          </cell>
        </row>
        <row r="51">
          <cell r="C51" t="str">
            <v>JTMAAAAA1RA049746</v>
          </cell>
          <cell r="D51" t="str">
            <v>Active</v>
          </cell>
          <cell r="E51">
            <v>45890</v>
          </cell>
          <cell r="F51"/>
          <cell r="G51"/>
          <cell r="H51"/>
          <cell r="I51" t="str">
            <v>OR</v>
          </cell>
          <cell r="J51">
            <v>1078</v>
          </cell>
          <cell r="K51">
            <v>2024</v>
          </cell>
          <cell r="L51" t="str">
            <v>bZ4X</v>
          </cell>
          <cell r="M51" t="str">
            <v>LE</v>
          </cell>
          <cell r="N51" t="str">
            <v>FWD</v>
          </cell>
          <cell r="O51" t="str">
            <v>Black</v>
          </cell>
          <cell r="P51">
            <v>37369</v>
          </cell>
          <cell r="Q51" t="str">
            <v>TCI</v>
          </cell>
          <cell r="R51">
            <v>45637</v>
          </cell>
          <cell r="S51">
            <v>45635</v>
          </cell>
          <cell r="T51"/>
          <cell r="U51"/>
          <cell r="V51" t="str">
            <v>No</v>
          </cell>
        </row>
        <row r="52">
          <cell r="C52" t="str">
            <v>JTMAAAAA8RA049744</v>
          </cell>
          <cell r="D52" t="str">
            <v>Active</v>
          </cell>
          <cell r="E52">
            <v>45898</v>
          </cell>
          <cell r="F52"/>
          <cell r="G52"/>
          <cell r="H52"/>
          <cell r="I52" t="str">
            <v>OR</v>
          </cell>
          <cell r="J52">
            <v>1078</v>
          </cell>
          <cell r="K52">
            <v>2024</v>
          </cell>
          <cell r="L52" t="str">
            <v>bZ4X</v>
          </cell>
          <cell r="M52" t="str">
            <v>LE</v>
          </cell>
          <cell r="N52" t="str">
            <v>FWD</v>
          </cell>
          <cell r="O52" t="str">
            <v>Black</v>
          </cell>
          <cell r="P52">
            <v>34646</v>
          </cell>
          <cell r="Q52" t="str">
            <v>TCI</v>
          </cell>
          <cell r="R52">
            <v>45637</v>
          </cell>
          <cell r="S52">
            <v>45635</v>
          </cell>
          <cell r="T52"/>
          <cell r="U52"/>
          <cell r="V52" t="str">
            <v>No</v>
          </cell>
        </row>
        <row r="53">
          <cell r="C53" t="str">
            <v>JTMAAAAA2RA049724</v>
          </cell>
          <cell r="D53" t="str">
            <v>Active</v>
          </cell>
          <cell r="E53" t="str">
            <v>Active 3 Jan 2025</v>
          </cell>
          <cell r="F53"/>
          <cell r="G53"/>
          <cell r="H53"/>
          <cell r="I53" t="str">
            <v>OR</v>
          </cell>
          <cell r="J53">
            <v>1078</v>
          </cell>
          <cell r="K53">
            <v>2024</v>
          </cell>
          <cell r="L53" t="str">
            <v>bZ4X</v>
          </cell>
          <cell r="M53" t="str">
            <v>LE</v>
          </cell>
          <cell r="N53" t="str">
            <v>FWD</v>
          </cell>
          <cell r="O53" t="str">
            <v>Nautical Blue</v>
          </cell>
          <cell r="P53">
            <v>36915</v>
          </cell>
          <cell r="Q53" t="str">
            <v>TCI</v>
          </cell>
          <cell r="R53">
            <v>45637</v>
          </cell>
          <cell r="S53">
            <v>45635</v>
          </cell>
          <cell r="T53"/>
          <cell r="U53"/>
          <cell r="V53" t="str">
            <v>No</v>
          </cell>
        </row>
        <row r="54">
          <cell r="C54" t="str">
            <v>JTMAAAAA6RA049855</v>
          </cell>
          <cell r="D54" t="str">
            <v>Inactive - Repair</v>
          </cell>
          <cell r="E54">
            <v>45890</v>
          </cell>
          <cell r="F54"/>
          <cell r="G54"/>
          <cell r="I54" t="str">
            <v>OR</v>
          </cell>
          <cell r="J54">
            <v>1078</v>
          </cell>
          <cell r="K54">
            <v>2024</v>
          </cell>
          <cell r="L54" t="str">
            <v>bZ4X</v>
          </cell>
          <cell r="M54" t="str">
            <v>LE</v>
          </cell>
          <cell r="N54" t="str">
            <v>FWD</v>
          </cell>
          <cell r="O54" t="str">
            <v>Nautical Blue</v>
          </cell>
          <cell r="P54">
            <v>27018</v>
          </cell>
          <cell r="Q54" t="str">
            <v>TCI</v>
          </cell>
          <cell r="R54">
            <v>45637</v>
          </cell>
          <cell r="S54">
            <v>45635</v>
          </cell>
          <cell r="T54"/>
          <cell r="U54"/>
          <cell r="V54" t="str">
            <v>No</v>
          </cell>
        </row>
        <row r="55">
          <cell r="C55" t="str">
            <v>JTMAAAAA1RA049925</v>
          </cell>
          <cell r="D55" t="str">
            <v>Active</v>
          </cell>
          <cell r="E55">
            <v>45854</v>
          </cell>
          <cell r="F55"/>
          <cell r="G55"/>
          <cell r="H55"/>
          <cell r="I55" t="str">
            <v>OR</v>
          </cell>
          <cell r="J55">
            <v>1078</v>
          </cell>
          <cell r="K55">
            <v>2024</v>
          </cell>
          <cell r="L55" t="str">
            <v>bZ4X</v>
          </cell>
          <cell r="M55" t="str">
            <v>LE</v>
          </cell>
          <cell r="N55" t="str">
            <v>FWD</v>
          </cell>
          <cell r="O55" t="str">
            <v>Nautical Blue</v>
          </cell>
          <cell r="P55">
            <v>24713</v>
          </cell>
          <cell r="Q55" t="str">
            <v>TCI</v>
          </cell>
          <cell r="R55">
            <v>45637</v>
          </cell>
          <cell r="S55">
            <v>45635</v>
          </cell>
          <cell r="T55"/>
          <cell r="U55"/>
          <cell r="V55" t="str">
            <v>No</v>
          </cell>
        </row>
        <row r="56">
          <cell r="C56" t="str">
            <v>JTMAAAAA8RA050053</v>
          </cell>
          <cell r="D56" t="str">
            <v>Active</v>
          </cell>
          <cell r="E56">
            <v>45850</v>
          </cell>
          <cell r="F56"/>
          <cell r="G56"/>
          <cell r="H56"/>
          <cell r="I56" t="str">
            <v>OR</v>
          </cell>
          <cell r="J56">
            <v>1078</v>
          </cell>
          <cell r="K56">
            <v>2024</v>
          </cell>
          <cell r="L56" t="str">
            <v>bZ4X</v>
          </cell>
          <cell r="M56" t="str">
            <v>LE</v>
          </cell>
          <cell r="N56" t="str">
            <v>FWD</v>
          </cell>
          <cell r="O56" t="str">
            <v>Nautical Blue</v>
          </cell>
          <cell r="P56">
            <v>30087</v>
          </cell>
          <cell r="Q56" t="str">
            <v>TCI</v>
          </cell>
          <cell r="R56">
            <v>45637</v>
          </cell>
          <cell r="S56">
            <v>45635</v>
          </cell>
          <cell r="T56"/>
          <cell r="U56"/>
          <cell r="V56" t="str">
            <v>No</v>
          </cell>
        </row>
        <row r="57">
          <cell r="C57" t="str">
            <v>JTMAAAAA3RA050090</v>
          </cell>
          <cell r="D57" t="str">
            <v>Active</v>
          </cell>
          <cell r="E57" t="str">
            <v>Active 3 Jan 2025</v>
          </cell>
          <cell r="F57"/>
          <cell r="G57"/>
          <cell r="H57"/>
          <cell r="I57" t="str">
            <v>OR</v>
          </cell>
          <cell r="J57">
            <v>1078</v>
          </cell>
          <cell r="K57">
            <v>2024</v>
          </cell>
          <cell r="L57" t="str">
            <v>bZ4X</v>
          </cell>
          <cell r="M57" t="str">
            <v>LE</v>
          </cell>
          <cell r="N57" t="str">
            <v>FWD</v>
          </cell>
          <cell r="O57" t="str">
            <v>Nautical Blue</v>
          </cell>
          <cell r="P57">
            <v>34876</v>
          </cell>
          <cell r="Q57" t="str">
            <v>TCI</v>
          </cell>
          <cell r="R57">
            <v>45637</v>
          </cell>
          <cell r="S57">
            <v>45635</v>
          </cell>
          <cell r="T57"/>
          <cell r="U57"/>
          <cell r="V57" t="str">
            <v>No</v>
          </cell>
        </row>
        <row r="58">
          <cell r="C58" t="str">
            <v>JTMAAAAA1RA049875</v>
          </cell>
          <cell r="D58" t="str">
            <v>Active</v>
          </cell>
          <cell r="E58">
            <v>45832</v>
          </cell>
          <cell r="F58"/>
          <cell r="G58"/>
          <cell r="H58"/>
          <cell r="I58" t="str">
            <v>WT</v>
          </cell>
          <cell r="J58">
            <v>1117</v>
          </cell>
          <cell r="K58">
            <v>2024</v>
          </cell>
          <cell r="L58" t="str">
            <v>bZ4X</v>
          </cell>
          <cell r="M58" t="str">
            <v>LE</v>
          </cell>
          <cell r="N58" t="str">
            <v>FWD</v>
          </cell>
          <cell r="O58" t="str">
            <v>Black</v>
          </cell>
          <cell r="P58">
            <v>49845</v>
          </cell>
          <cell r="Q58" t="str">
            <v>TCI</v>
          </cell>
          <cell r="R58">
            <v>45637</v>
          </cell>
          <cell r="S58">
            <v>45635</v>
          </cell>
          <cell r="T58"/>
          <cell r="U58"/>
          <cell r="V58" t="str">
            <v>No</v>
          </cell>
        </row>
        <row r="59">
          <cell r="C59" t="str">
            <v>JTMAAAAAXRA050006</v>
          </cell>
          <cell r="D59" t="str">
            <v>Active</v>
          </cell>
          <cell r="E59">
            <v>45897</v>
          </cell>
          <cell r="F59"/>
          <cell r="G59"/>
          <cell r="H59"/>
          <cell r="I59" t="str">
            <v>WT</v>
          </cell>
          <cell r="J59">
            <v>1117</v>
          </cell>
          <cell r="K59">
            <v>2024</v>
          </cell>
          <cell r="L59" t="str">
            <v>bZ4X</v>
          </cell>
          <cell r="M59" t="str">
            <v>LE</v>
          </cell>
          <cell r="N59" t="str">
            <v>FWD</v>
          </cell>
          <cell r="O59" t="str">
            <v>Black</v>
          </cell>
          <cell r="P59">
            <v>33963</v>
          </cell>
          <cell r="Q59" t="str">
            <v>TCI</v>
          </cell>
          <cell r="R59">
            <v>45637</v>
          </cell>
          <cell r="S59">
            <v>45635</v>
          </cell>
          <cell r="T59"/>
          <cell r="U59"/>
          <cell r="V59" t="str">
            <v>Yes</v>
          </cell>
        </row>
        <row r="60">
          <cell r="C60" t="str">
            <v>JTMAAAAA8RA050229</v>
          </cell>
          <cell r="D60" t="str">
            <v>Active</v>
          </cell>
          <cell r="E60">
            <v>45835</v>
          </cell>
          <cell r="F60"/>
          <cell r="G60"/>
          <cell r="H60"/>
          <cell r="I60" t="str">
            <v>WT</v>
          </cell>
          <cell r="J60">
            <v>1117</v>
          </cell>
          <cell r="K60">
            <v>2024</v>
          </cell>
          <cell r="L60" t="str">
            <v>bZ4X</v>
          </cell>
          <cell r="M60" t="str">
            <v>LE</v>
          </cell>
          <cell r="N60" t="str">
            <v>FWD</v>
          </cell>
          <cell r="O60" t="str">
            <v>Nautical Blue</v>
          </cell>
          <cell r="P60">
            <v>54280</v>
          </cell>
          <cell r="Q60" t="str">
            <v>TCI</v>
          </cell>
          <cell r="R60">
            <v>45637</v>
          </cell>
          <cell r="S60">
            <v>45663</v>
          </cell>
          <cell r="T60"/>
          <cell r="U60"/>
          <cell r="V60" t="str">
            <v>No</v>
          </cell>
        </row>
        <row r="61">
          <cell r="C61" t="str">
            <v>JTMAAAAA0RA050340</v>
          </cell>
          <cell r="D61" t="str">
            <v>Active</v>
          </cell>
          <cell r="E61">
            <v>45883</v>
          </cell>
          <cell r="F61"/>
          <cell r="G61"/>
          <cell r="H61"/>
          <cell r="I61" t="str">
            <v>WT</v>
          </cell>
          <cell r="J61">
            <v>1117</v>
          </cell>
          <cell r="K61">
            <v>2024</v>
          </cell>
          <cell r="L61" t="str">
            <v>bZ4X</v>
          </cell>
          <cell r="M61" t="str">
            <v>LE</v>
          </cell>
          <cell r="N61" t="str">
            <v>FWD</v>
          </cell>
          <cell r="O61" t="str">
            <v>Nautical Blue</v>
          </cell>
          <cell r="P61">
            <v>41528</v>
          </cell>
          <cell r="Q61" t="str">
            <v>TCI</v>
          </cell>
          <cell r="R61">
            <v>45637</v>
          </cell>
          <cell r="S61">
            <v>45663</v>
          </cell>
          <cell r="T61"/>
          <cell r="U61"/>
          <cell r="V61" t="str">
            <v>No</v>
          </cell>
        </row>
        <row r="62">
          <cell r="C62" t="str">
            <v>JTMAAAAA5RA050463</v>
          </cell>
          <cell r="D62" t="str">
            <v>Active</v>
          </cell>
          <cell r="E62">
            <v>45849</v>
          </cell>
          <cell r="F62"/>
          <cell r="G62"/>
          <cell r="H62"/>
          <cell r="I62" t="str">
            <v>WT</v>
          </cell>
          <cell r="J62">
            <v>1117</v>
          </cell>
          <cell r="K62">
            <v>2024</v>
          </cell>
          <cell r="L62" t="str">
            <v>bZ4X</v>
          </cell>
          <cell r="M62" t="str">
            <v>LE</v>
          </cell>
          <cell r="N62" t="str">
            <v>FWD</v>
          </cell>
          <cell r="O62" t="str">
            <v>Nautical Blue</v>
          </cell>
          <cell r="P62">
            <v>40986</v>
          </cell>
          <cell r="Q62" t="str">
            <v>TCI</v>
          </cell>
          <cell r="R62">
            <v>45637</v>
          </cell>
          <cell r="S62">
            <v>45663</v>
          </cell>
          <cell r="T62"/>
          <cell r="U62"/>
          <cell r="V62" t="str">
            <v>No</v>
          </cell>
        </row>
        <row r="63">
          <cell r="C63" t="str">
            <v>JTMAAAAA2RA050565</v>
          </cell>
          <cell r="D63" t="str">
            <v>Active</v>
          </cell>
          <cell r="E63">
            <v>45845</v>
          </cell>
          <cell r="F63"/>
          <cell r="G63"/>
          <cell r="H63"/>
          <cell r="I63" t="str">
            <v>WT</v>
          </cell>
          <cell r="J63">
            <v>1117</v>
          </cell>
          <cell r="K63">
            <v>2024</v>
          </cell>
          <cell r="L63" t="str">
            <v>bZ4X</v>
          </cell>
          <cell r="M63" t="str">
            <v>LE</v>
          </cell>
          <cell r="N63" t="str">
            <v>FWD</v>
          </cell>
          <cell r="O63" t="str">
            <v>Nautical Blue</v>
          </cell>
          <cell r="P63">
            <v>48386</v>
          </cell>
          <cell r="Q63" t="str">
            <v>TCI</v>
          </cell>
          <cell r="R63">
            <v>45637</v>
          </cell>
          <cell r="S63">
            <v>45663</v>
          </cell>
          <cell r="T63"/>
          <cell r="U63"/>
          <cell r="V63" t="str">
            <v>No</v>
          </cell>
        </row>
        <row r="64">
          <cell r="C64" t="str">
            <v>JTMAAAAA1SA058324</v>
          </cell>
          <cell r="D64" t="str">
            <v>Active</v>
          </cell>
          <cell r="E64">
            <v>45856</v>
          </cell>
          <cell r="I64" t="str">
            <v>JP</v>
          </cell>
          <cell r="J64">
            <v>1088</v>
          </cell>
          <cell r="K64">
            <v>2025</v>
          </cell>
          <cell r="L64" t="str">
            <v>bZ4X</v>
          </cell>
          <cell r="M64" t="str">
            <v>LE</v>
          </cell>
          <cell r="N64" t="str">
            <v>FWD</v>
          </cell>
          <cell r="O64" t="str">
            <v>Black</v>
          </cell>
          <cell r="P64">
            <v>17875</v>
          </cell>
          <cell r="Q64" t="str">
            <v>TCCI</v>
          </cell>
          <cell r="R64">
            <v>45689</v>
          </cell>
          <cell r="S64">
            <v>45759</v>
          </cell>
          <cell r="V64" t="str">
            <v>No</v>
          </cell>
        </row>
        <row r="65">
          <cell r="C65" t="str">
            <v>JTMAAAAA3SA058289</v>
          </cell>
          <cell r="D65" t="str">
            <v>Active</v>
          </cell>
          <cell r="E65">
            <v>45759</v>
          </cell>
          <cell r="I65" t="str">
            <v>JP</v>
          </cell>
          <cell r="J65">
            <v>1088</v>
          </cell>
          <cell r="K65">
            <v>2025</v>
          </cell>
          <cell r="L65" t="str">
            <v>bZ4X</v>
          </cell>
          <cell r="M65" t="str">
            <v>LE</v>
          </cell>
          <cell r="N65" t="str">
            <v>FWD</v>
          </cell>
          <cell r="O65" t="str">
            <v>Nautical Blue</v>
          </cell>
          <cell r="P65">
            <v>39793</v>
          </cell>
          <cell r="Q65" t="str">
            <v>TCCI</v>
          </cell>
          <cell r="R65">
            <v>45689</v>
          </cell>
          <cell r="S65">
            <v>45759</v>
          </cell>
          <cell r="V65" t="str">
            <v>No</v>
          </cell>
        </row>
        <row r="66">
          <cell r="C66" t="str">
            <v>JTMAAAAA8SA058403</v>
          </cell>
          <cell r="D66" t="str">
            <v>Active</v>
          </cell>
          <cell r="E66">
            <v>45759</v>
          </cell>
          <cell r="I66" t="str">
            <v>JP</v>
          </cell>
          <cell r="J66">
            <v>1088</v>
          </cell>
          <cell r="K66">
            <v>2025</v>
          </cell>
          <cell r="L66" t="str">
            <v>bZ4X</v>
          </cell>
          <cell r="M66" t="str">
            <v>LE</v>
          </cell>
          <cell r="N66" t="str">
            <v>FWD</v>
          </cell>
          <cell r="O66" t="str">
            <v>Nautical Blue</v>
          </cell>
          <cell r="P66">
            <v>43151</v>
          </cell>
          <cell r="Q66" t="str">
            <v>TCCI</v>
          </cell>
          <cell r="R66">
            <v>45689</v>
          </cell>
          <cell r="S66">
            <v>45759</v>
          </cell>
          <cell r="V66" t="str">
            <v>No</v>
          </cell>
        </row>
        <row r="67">
          <cell r="C67" t="str">
            <v>JTMABACA8SA094988</v>
          </cell>
          <cell r="D67" t="str">
            <v>Inactive - Repair</v>
          </cell>
          <cell r="E67">
            <v>45910</v>
          </cell>
          <cell r="F67" t="str">
            <v xml:space="preserve">Repair in Progress </v>
          </cell>
          <cell r="G67" t="str">
            <v>CZ09301-3Zbigniew Miazga</v>
          </cell>
          <cell r="H67" t="str">
            <v>Dilpreet Gill 605 533 7403</v>
          </cell>
          <cell r="I67" t="str">
            <v>JP</v>
          </cell>
          <cell r="J67">
            <v>1088</v>
          </cell>
          <cell r="K67">
            <v>2025</v>
          </cell>
          <cell r="L67" t="str">
            <v>bZ4X</v>
          </cell>
          <cell r="M67" t="str">
            <v>LE</v>
          </cell>
          <cell r="N67" t="str">
            <v>FWD</v>
          </cell>
          <cell r="O67" t="str">
            <v>Black</v>
          </cell>
          <cell r="P67">
            <v>24994</v>
          </cell>
          <cell r="Q67" t="str">
            <v>TCCI</v>
          </cell>
          <cell r="R67">
            <v>45689</v>
          </cell>
          <cell r="S67">
            <v>45761</v>
          </cell>
          <cell r="V67" t="str">
            <v>No</v>
          </cell>
        </row>
        <row r="68">
          <cell r="C68" t="str">
            <v>JTMABACA3SA094817</v>
          </cell>
          <cell r="D68" t="str">
            <v>Active</v>
          </cell>
          <cell r="E68">
            <v>45761</v>
          </cell>
          <cell r="F68"/>
          <cell r="G68"/>
          <cell r="H68"/>
          <cell r="I68" t="str">
            <v>JP</v>
          </cell>
          <cell r="J68">
            <v>1088</v>
          </cell>
          <cell r="K68">
            <v>2025</v>
          </cell>
          <cell r="L68" t="str">
            <v>bZ4X</v>
          </cell>
          <cell r="M68" t="str">
            <v>LE</v>
          </cell>
          <cell r="N68" t="str">
            <v>FWD</v>
          </cell>
          <cell r="O68" t="str">
            <v>Nautical Blue</v>
          </cell>
          <cell r="P68">
            <v>37844</v>
          </cell>
          <cell r="Q68" t="str">
            <v>TCCI</v>
          </cell>
          <cell r="R68">
            <v>45689</v>
          </cell>
          <cell r="S68">
            <v>45762</v>
          </cell>
          <cell r="T68"/>
          <cell r="U68"/>
          <cell r="V68" t="str">
            <v>No</v>
          </cell>
        </row>
        <row r="69">
          <cell r="C69" t="str">
            <v>JTMAAAAA8SA058188</v>
          </cell>
          <cell r="D69" t="str">
            <v>Active</v>
          </cell>
          <cell r="E69">
            <v>45884</v>
          </cell>
          <cell r="I69" t="str">
            <v>OR</v>
          </cell>
          <cell r="J69">
            <v>1078</v>
          </cell>
          <cell r="K69">
            <v>2025</v>
          </cell>
          <cell r="L69" t="str">
            <v>bZ4X</v>
          </cell>
          <cell r="M69" t="str">
            <v>LE</v>
          </cell>
          <cell r="N69" t="str">
            <v>FWD</v>
          </cell>
          <cell r="O69" t="str">
            <v>Nautical Blue</v>
          </cell>
          <cell r="P69">
            <v>5389</v>
          </cell>
          <cell r="Q69" t="str">
            <v>TCCI</v>
          </cell>
          <cell r="R69">
            <v>45689</v>
          </cell>
          <cell r="S69">
            <v>45764</v>
          </cell>
          <cell r="V69" t="str">
            <v>No</v>
          </cell>
        </row>
        <row r="70">
          <cell r="C70" t="str">
            <v>JTMAAAAA4SA058141</v>
          </cell>
          <cell r="D70" t="str">
            <v>Active</v>
          </cell>
          <cell r="E70">
            <v>45886</v>
          </cell>
          <cell r="I70" t="str">
            <v>OR</v>
          </cell>
          <cell r="J70">
            <v>1078</v>
          </cell>
          <cell r="K70">
            <v>2025</v>
          </cell>
          <cell r="L70" t="str">
            <v>bZ4X</v>
          </cell>
          <cell r="M70" t="str">
            <v>LE</v>
          </cell>
          <cell r="N70" t="str">
            <v>FWD</v>
          </cell>
          <cell r="O70" t="str">
            <v>Nautical Blue</v>
          </cell>
          <cell r="P70">
            <v>20080</v>
          </cell>
          <cell r="Q70" t="str">
            <v>TCCI</v>
          </cell>
          <cell r="R70">
            <v>45689</v>
          </cell>
          <cell r="S70">
            <v>45764</v>
          </cell>
          <cell r="V70" t="str">
            <v>No</v>
          </cell>
        </row>
        <row r="71">
          <cell r="C71" t="str">
            <v>JTMABACA3SA094722</v>
          </cell>
          <cell r="D71" t="str">
            <v>Active</v>
          </cell>
          <cell r="E71">
            <v>45884</v>
          </cell>
          <cell r="F71"/>
          <cell r="G71"/>
          <cell r="H71"/>
          <cell r="I71" t="str">
            <v>OR</v>
          </cell>
          <cell r="J71">
            <v>1078</v>
          </cell>
          <cell r="K71">
            <v>2025</v>
          </cell>
          <cell r="L71" t="str">
            <v>bZ4X</v>
          </cell>
          <cell r="M71" t="str">
            <v>LE</v>
          </cell>
          <cell r="N71" t="str">
            <v>AWD</v>
          </cell>
          <cell r="O71" t="str">
            <v>Nautical Blue</v>
          </cell>
          <cell r="P71">
            <v>6580</v>
          </cell>
          <cell r="Q71" t="str">
            <v>TCCI</v>
          </cell>
          <cell r="R71">
            <v>45689</v>
          </cell>
          <cell r="S71">
            <v>45764</v>
          </cell>
          <cell r="T71"/>
          <cell r="U71"/>
          <cell r="V71" t="str">
            <v>No</v>
          </cell>
        </row>
        <row r="72">
          <cell r="C72" t="str">
            <v>JTMABACA8SA094733</v>
          </cell>
          <cell r="D72" t="str">
            <v>Active</v>
          </cell>
          <cell r="E72">
            <v>45857</v>
          </cell>
          <cell r="I72" t="str">
            <v>OR</v>
          </cell>
          <cell r="J72">
            <v>1078</v>
          </cell>
          <cell r="K72">
            <v>2025</v>
          </cell>
          <cell r="L72" t="str">
            <v>bZ4X</v>
          </cell>
          <cell r="M72" t="str">
            <v>LE</v>
          </cell>
          <cell r="N72" t="str">
            <v>AWD</v>
          </cell>
          <cell r="O72" t="str">
            <v>Nautical Blue</v>
          </cell>
          <cell r="P72">
            <v>10729</v>
          </cell>
          <cell r="Q72" t="str">
            <v>TCCI</v>
          </cell>
          <cell r="R72">
            <v>45689</v>
          </cell>
          <cell r="S72">
            <v>45764</v>
          </cell>
          <cell r="V72" t="str">
            <v>No</v>
          </cell>
        </row>
        <row r="73">
          <cell r="C73" t="str">
            <v>JTDAAAAA8RA011754</v>
          </cell>
          <cell r="D73" t="str">
            <v>Active</v>
          </cell>
          <cell r="E73">
            <v>45859</v>
          </cell>
          <cell r="I73" t="str">
            <v>OR</v>
          </cell>
          <cell r="J73">
            <v>1078</v>
          </cell>
          <cell r="K73">
            <v>2024</v>
          </cell>
          <cell r="L73" t="str">
            <v>Mirai</v>
          </cell>
          <cell r="M73" t="str">
            <v>XLE</v>
          </cell>
          <cell r="N73" t="str">
            <v>RWD</v>
          </cell>
          <cell r="O73" t="str">
            <v>Oxygen White</v>
          </cell>
          <cell r="P73">
            <v>1250</v>
          </cell>
          <cell r="Q73" t="str">
            <v>TCI</v>
          </cell>
          <cell r="R73" t="str">
            <v>2024/12</v>
          </cell>
          <cell r="S73">
            <v>45768</v>
          </cell>
          <cell r="U73" t="str">
            <v>N/A</v>
          </cell>
          <cell r="V73" t="str">
            <v>No</v>
          </cell>
        </row>
        <row r="74">
          <cell r="C74" t="str">
            <v>JTDAAAAA0RA011764</v>
          </cell>
          <cell r="D74" t="str">
            <v>Active</v>
          </cell>
          <cell r="E74">
            <v>45890</v>
          </cell>
          <cell r="H74"/>
          <cell r="I74" t="str">
            <v>OR</v>
          </cell>
          <cell r="J74">
            <v>1078</v>
          </cell>
          <cell r="K74">
            <v>2024</v>
          </cell>
          <cell r="L74" t="str">
            <v>Mirai</v>
          </cell>
          <cell r="M74" t="str">
            <v>XLE</v>
          </cell>
          <cell r="N74" t="str">
            <v>RWD</v>
          </cell>
          <cell r="O74" t="str">
            <v>Oxygen White</v>
          </cell>
          <cell r="P74">
            <v>12100</v>
          </cell>
          <cell r="Q74" t="str">
            <v>TCI</v>
          </cell>
          <cell r="R74" t="str">
            <v>2024/12</v>
          </cell>
          <cell r="S74">
            <v>45768</v>
          </cell>
          <cell r="U74" t="str">
            <v>N/A</v>
          </cell>
          <cell r="V74" t="str">
            <v>No</v>
          </cell>
        </row>
        <row r="75">
          <cell r="C75" t="str">
            <v>JTMAAAAA7SA058201</v>
          </cell>
          <cell r="D75" t="str">
            <v>Active</v>
          </cell>
          <cell r="E75">
            <v>45764</v>
          </cell>
          <cell r="F75"/>
          <cell r="G75"/>
          <cell r="H75"/>
          <cell r="I75" t="str">
            <v>DB</v>
          </cell>
          <cell r="J75">
            <v>1122</v>
          </cell>
          <cell r="K75">
            <v>2025</v>
          </cell>
          <cell r="L75" t="str">
            <v>bZ4X</v>
          </cell>
          <cell r="M75" t="str">
            <v>LE</v>
          </cell>
          <cell r="N75" t="str">
            <v>FWD</v>
          </cell>
          <cell r="O75" t="str">
            <v>Black</v>
          </cell>
          <cell r="P75">
            <v>20118</v>
          </cell>
          <cell r="Q75" t="str">
            <v>TCCI</v>
          </cell>
          <cell r="R75">
            <v>45689</v>
          </cell>
          <cell r="S75">
            <v>45764</v>
          </cell>
          <cell r="T75"/>
          <cell r="U75"/>
          <cell r="V75" t="str">
            <v>No</v>
          </cell>
        </row>
        <row r="76">
          <cell r="C76" t="str">
            <v>JTMABACA1SA094718</v>
          </cell>
          <cell r="D76" t="str">
            <v>Active</v>
          </cell>
          <cell r="E76">
            <v>45764</v>
          </cell>
          <cell r="I76" t="str">
            <v>DB</v>
          </cell>
          <cell r="J76">
            <v>1122</v>
          </cell>
          <cell r="K76">
            <v>2025</v>
          </cell>
          <cell r="L76" t="str">
            <v>bZ4X</v>
          </cell>
          <cell r="M76" t="str">
            <v>LE</v>
          </cell>
          <cell r="N76" t="str">
            <v>AWD</v>
          </cell>
          <cell r="O76" t="str">
            <v>Black</v>
          </cell>
          <cell r="P76">
            <v>18765</v>
          </cell>
          <cell r="Q76" t="str">
            <v>TCCI</v>
          </cell>
          <cell r="R76">
            <v>45689</v>
          </cell>
          <cell r="S76">
            <v>45764</v>
          </cell>
          <cell r="V76" t="str">
            <v>No</v>
          </cell>
        </row>
        <row r="77">
          <cell r="C77" t="str">
            <v>JTMABACA7SA094917</v>
          </cell>
          <cell r="D77" t="str">
            <v>Active</v>
          </cell>
          <cell r="E77">
            <v>45764</v>
          </cell>
          <cell r="I77" t="str">
            <v>DB</v>
          </cell>
          <cell r="J77">
            <v>1122</v>
          </cell>
          <cell r="K77">
            <v>2025</v>
          </cell>
          <cell r="L77" t="str">
            <v>bZ4X</v>
          </cell>
          <cell r="M77" t="str">
            <v>LE</v>
          </cell>
          <cell r="N77" t="str">
            <v>AWD</v>
          </cell>
          <cell r="O77" t="str">
            <v>Black</v>
          </cell>
          <cell r="P77">
            <v>36169</v>
          </cell>
          <cell r="Q77" t="str">
            <v>TCCI</v>
          </cell>
          <cell r="R77">
            <v>45689</v>
          </cell>
          <cell r="S77">
            <v>45764</v>
          </cell>
          <cell r="V77" t="str">
            <v>No</v>
          </cell>
        </row>
        <row r="78">
          <cell r="C78" t="str">
            <v>JTMABACA0SA094807</v>
          </cell>
          <cell r="D78" t="str">
            <v>Active</v>
          </cell>
          <cell r="E78">
            <v>45903</v>
          </cell>
          <cell r="I78" t="str">
            <v>DB</v>
          </cell>
          <cell r="J78">
            <v>1122</v>
          </cell>
          <cell r="K78">
            <v>2025</v>
          </cell>
          <cell r="L78" t="str">
            <v>bZ4X</v>
          </cell>
          <cell r="M78" t="str">
            <v>LE</v>
          </cell>
          <cell r="N78" t="str">
            <v>AWD</v>
          </cell>
          <cell r="O78" t="str">
            <v>Nautical Blue</v>
          </cell>
          <cell r="P78">
            <v>27085</v>
          </cell>
          <cell r="Q78" t="str">
            <v>TCCI</v>
          </cell>
          <cell r="R78">
            <v>45689</v>
          </cell>
          <cell r="S78">
            <v>45775</v>
          </cell>
          <cell r="V78" t="str">
            <v>No</v>
          </cell>
        </row>
        <row r="79">
          <cell r="C79" t="str">
            <v>JTDAAAAAXRA011786</v>
          </cell>
          <cell r="D79" t="str">
            <v>Active</v>
          </cell>
          <cell r="E79">
            <v>45915</v>
          </cell>
          <cell r="F79"/>
          <cell r="G79"/>
          <cell r="H79"/>
          <cell r="I79" t="str">
            <v>DB</v>
          </cell>
          <cell r="J79">
            <v>1122</v>
          </cell>
          <cell r="K79">
            <v>2024</v>
          </cell>
          <cell r="L79" t="str">
            <v>Mirai</v>
          </cell>
          <cell r="M79" t="str">
            <v>XLE</v>
          </cell>
          <cell r="N79" t="str">
            <v>RWD</v>
          </cell>
          <cell r="O79" t="str">
            <v>Oxygen White</v>
          </cell>
          <cell r="P79">
            <v>13194</v>
          </cell>
          <cell r="Q79" t="str">
            <v>TCI</v>
          </cell>
          <cell r="R79" t="str">
            <v>2024/12</v>
          </cell>
          <cell r="S79">
            <v>45768</v>
          </cell>
          <cell r="T79"/>
          <cell r="U79" t="str">
            <v>N/A</v>
          </cell>
          <cell r="V79" t="str">
            <v>No</v>
          </cell>
        </row>
        <row r="80">
          <cell r="C80" t="str">
            <v>JTDAAAAA5RA011789</v>
          </cell>
          <cell r="D80" t="str">
            <v>Active</v>
          </cell>
          <cell r="E80">
            <v>45768</v>
          </cell>
          <cell r="I80" t="str">
            <v>DB</v>
          </cell>
          <cell r="J80">
            <v>1122</v>
          </cell>
          <cell r="K80">
            <v>2024</v>
          </cell>
          <cell r="L80" t="str">
            <v>Mirai</v>
          </cell>
          <cell r="M80" t="str">
            <v>XLE</v>
          </cell>
          <cell r="N80" t="str">
            <v>RWD</v>
          </cell>
          <cell r="O80" t="str">
            <v>Oxygen White</v>
          </cell>
          <cell r="P80">
            <v>5670</v>
          </cell>
          <cell r="Q80" t="str">
            <v>TCI</v>
          </cell>
          <cell r="R80" t="str">
            <v>2024/12</v>
          </cell>
          <cell r="S80">
            <v>45768</v>
          </cell>
          <cell r="U80" t="str">
            <v>N/A</v>
          </cell>
          <cell r="V80" t="str">
            <v>No</v>
          </cell>
        </row>
        <row r="81">
          <cell r="C81" t="str">
            <v>JTDAAAAA4RA011766</v>
          </cell>
          <cell r="D81" t="str">
            <v>Active</v>
          </cell>
          <cell r="E81">
            <v>45898</v>
          </cell>
          <cell r="F81"/>
          <cell r="G81"/>
          <cell r="H81"/>
          <cell r="I81" t="str">
            <v>WT</v>
          </cell>
          <cell r="J81">
            <v>1117</v>
          </cell>
          <cell r="K81">
            <v>2024</v>
          </cell>
          <cell r="L81" t="str">
            <v>Mirai</v>
          </cell>
          <cell r="M81" t="str">
            <v>XLE</v>
          </cell>
          <cell r="N81" t="str">
            <v>RWD</v>
          </cell>
          <cell r="O81" t="str">
            <v>Oxygen White</v>
          </cell>
          <cell r="P81">
            <v>11241</v>
          </cell>
          <cell r="Q81" t="str">
            <v>TCI</v>
          </cell>
          <cell r="R81" t="str">
            <v>2024/12</v>
          </cell>
          <cell r="S81">
            <v>45768</v>
          </cell>
          <cell r="T81"/>
          <cell r="U81" t="str">
            <v>N/A</v>
          </cell>
          <cell r="V81" t="str">
            <v>No</v>
          </cell>
        </row>
        <row r="82">
          <cell r="C82" t="str">
            <v>JTMAAAAA1SA058341</v>
          </cell>
          <cell r="D82" t="str">
            <v>Inactive - Repair</v>
          </cell>
          <cell r="E82">
            <v>45912</v>
          </cell>
          <cell r="F82" t="str">
            <v xml:space="preserve">Repair in Progress </v>
          </cell>
          <cell r="G82" t="str">
            <v>CY48380-3 Michael Louis Tyson</v>
          </cell>
          <cell r="H82" t="str">
            <v>Natalie Meeres 250 480 5769</v>
          </cell>
          <cell r="I82" t="str">
            <v>WT</v>
          </cell>
          <cell r="J82">
            <v>1117</v>
          </cell>
          <cell r="K82">
            <v>2025</v>
          </cell>
          <cell r="L82" t="str">
            <v>bZ4X</v>
          </cell>
          <cell r="M82" t="str">
            <v>LE</v>
          </cell>
          <cell r="N82" t="str">
            <v>FWD</v>
          </cell>
          <cell r="O82" t="str">
            <v>Black</v>
          </cell>
          <cell r="P82">
            <v>26812</v>
          </cell>
          <cell r="Q82" t="str">
            <v>TCCI</v>
          </cell>
          <cell r="R82">
            <v>45717</v>
          </cell>
          <cell r="S82">
            <v>45768</v>
          </cell>
          <cell r="T82"/>
          <cell r="U82"/>
          <cell r="V82" t="str">
            <v>No</v>
          </cell>
        </row>
        <row r="83">
          <cell r="C83" t="str">
            <v>JTMABACA4SA094891</v>
          </cell>
          <cell r="D83" t="str">
            <v>Active</v>
          </cell>
          <cell r="E83">
            <v>45775</v>
          </cell>
          <cell r="I83" t="str">
            <v>WT</v>
          </cell>
          <cell r="J83">
            <v>1117</v>
          </cell>
          <cell r="K83">
            <v>2025</v>
          </cell>
          <cell r="L83" t="str">
            <v>bZ4X</v>
          </cell>
          <cell r="M83" t="str">
            <v>LE</v>
          </cell>
          <cell r="N83" t="str">
            <v>AWD</v>
          </cell>
          <cell r="O83" t="str">
            <v>Nautical Blue</v>
          </cell>
          <cell r="P83">
            <v>35324</v>
          </cell>
          <cell r="Q83" t="str">
            <v>TCCI</v>
          </cell>
          <cell r="R83">
            <v>45717</v>
          </cell>
          <cell r="S83">
            <v>45775</v>
          </cell>
          <cell r="V83" t="str">
            <v>No</v>
          </cell>
        </row>
        <row r="84">
          <cell r="C84" t="str">
            <v>JTMABACA8SA096921</v>
          </cell>
          <cell r="D84" t="str">
            <v>Active</v>
          </cell>
          <cell r="E84">
            <v>45832</v>
          </cell>
          <cell r="I84" t="str">
            <v>WT</v>
          </cell>
          <cell r="J84">
            <v>1117</v>
          </cell>
          <cell r="K84">
            <v>2025</v>
          </cell>
          <cell r="L84" t="str">
            <v>bZ4X</v>
          </cell>
          <cell r="M84" t="str">
            <v>LE</v>
          </cell>
          <cell r="N84" t="str">
            <v>AWD</v>
          </cell>
          <cell r="O84" t="str">
            <v>Element Silver</v>
          </cell>
          <cell r="P84">
            <v>34507</v>
          </cell>
          <cell r="Q84" t="str">
            <v>TCCI</v>
          </cell>
          <cell r="R84">
            <v>45717</v>
          </cell>
          <cell r="S84">
            <v>45770</v>
          </cell>
          <cell r="V84" t="str">
            <v>No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70997-2451-4673-8BFD-175902D77897}" name="Table1" displayName="Table1" ref="A1:Q84" totalsRowShown="0" dataDxfId="20" dataCellStyle="Currency">
  <tableColumns count="17">
    <tableColumn id="1" xr3:uid="{AE5C6635-44FC-42C1-8C25-87CB0DC71FA0}" name="Vehicle ID"/>
    <tableColumn id="2" xr3:uid="{35C821BE-79F5-4697-834A-368A08B7CBD3}" name="VIN"/>
    <tableColumn id="3" xr3:uid="{093EE4B6-A31F-4076-8A62-5C9953B094B1}" name="Plate Number"/>
    <tableColumn id="4" xr3:uid="{5ECD124C-2A15-43E1-A99F-9A7EB6D36FF0}" name="Model"/>
    <tableColumn id="5" xr3:uid="{065CEEB7-8EF1-45A7-8074-404E1C47FD71}" name="MY"/>
    <tableColumn id="6" xr3:uid="{4CE8B267-09BD-41E5-BCF0-43E1B5AC42CC}" name="Trim"/>
    <tableColumn id="7" xr3:uid="{8664B254-2369-4604-922E-FE7A8E50F990}" name="Colour"/>
    <tableColumn id="8" xr3:uid="{C66095A0-E8C9-4FA2-99AB-13D432B55128}" name="Onboard date" dataDxfId="19"/>
    <tableColumn id="9" xr3:uid="{49783B16-A95C-49D6-9BCD-8458AB2FB57C}" name="DLR Name"/>
    <tableColumn id="10" xr3:uid="{95F6DAD3-A814-401F-BC25-DDED84572B16}" name="Ownership"/>
    <tableColumn id="11" xr3:uid="{2CCAEE8A-D007-4114-98D8-D17815A45707}" name="Odometer 3_19_26"/>
    <tableColumn id="12" xr3:uid="{263FED83-A761-4933-BCDD-71D1834EFCBF}" name="Latest Rent End" dataDxfId="18"/>
    <tableColumn id="13" xr3:uid="{52A0FA34-8C06-4D23-B79C-9FB50836716D}" name="Status"/>
    <tableColumn id="17" xr3:uid="{FA03B88B-87BB-4EC9-B840-C8FBC6847F47}" name="Status 3_19_26" dataDxfId="17"/>
    <tableColumn id="14" xr3:uid="{FB2CB413-85DE-42B1-977B-1D4AB248B9FF}" name="Purchase price" dataDxfId="16" dataCellStyle="Currency">
      <calculatedColumnFormula>+VLOOKUP(B2,'Dep TCCI'!$I$3:$AC$117,2,FALSE)</calculatedColumnFormula>
    </tableColumn>
    <tableColumn id="15" xr3:uid="{80166EDF-32D4-4668-853A-43C99CCEAC48}" name="Total Dep" dataDxfId="15" dataCellStyle="Currency">
      <calculatedColumnFormula>+VLOOKUP(B2,'Dep TCCI'!$I$3:$AC$117,20,FALSE)</calculatedColumnFormula>
    </tableColumn>
    <tableColumn id="16" xr3:uid="{7022F03F-0B2C-4CEA-B4D3-60691DDF2AF2}" name="Price to BE" dataDxfId="14" dataCellStyle="Currency">
      <calculatedColumnFormula>+O2-P2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1513-7093-4CAB-B897-09852438D4A8}">
  <dimension ref="B2:AC117"/>
  <sheetViews>
    <sheetView zoomScale="104" zoomScaleNormal="85" workbookViewId="0">
      <pane xSplit="4" ySplit="2" topLeftCell="G3" activePane="bottomRight" state="frozen"/>
      <selection pane="topRight" activeCell="E1" sqref="E1"/>
      <selection pane="bottomLeft" activeCell="A3" sqref="A3"/>
      <selection pane="bottomRight" activeCell="I2" sqref="I2"/>
    </sheetView>
  </sheetViews>
  <sheetFormatPr defaultColWidth="8.5546875" defaultRowHeight="15.6" x14ac:dyDescent="0.3"/>
  <cols>
    <col min="1" max="1" width="4.44140625" style="7" customWidth="1"/>
    <col min="2" max="2" width="7" style="7" bestFit="1" customWidth="1"/>
    <col min="3" max="3" width="13.109375" style="7" bestFit="1" customWidth="1"/>
    <col min="4" max="4" width="13.5546875" style="7" bestFit="1" customWidth="1"/>
    <col min="5" max="5" width="7.5546875" style="7" bestFit="1" customWidth="1"/>
    <col min="6" max="6" width="17.109375" style="7" bestFit="1" customWidth="1"/>
    <col min="7" max="7" width="13.109375" style="7" bestFit="1" customWidth="1"/>
    <col min="8" max="8" width="7" style="7" bestFit="1" customWidth="1"/>
    <col min="9" max="9" width="22.109375" style="7" bestFit="1" customWidth="1"/>
    <col min="10" max="10" width="14.5546875" style="7" bestFit="1" customWidth="1"/>
    <col min="11" max="11" width="18.109375" style="7" bestFit="1" customWidth="1"/>
    <col min="12" max="12" width="18" style="7" bestFit="1" customWidth="1"/>
    <col min="13" max="13" width="13.88671875" style="7" bestFit="1" customWidth="1"/>
    <col min="14" max="14" width="15.6640625" style="7" bestFit="1" customWidth="1"/>
    <col min="15" max="15" width="13.88671875" style="7" bestFit="1" customWidth="1"/>
    <col min="16" max="16" width="15.6640625" style="7" bestFit="1" customWidth="1"/>
    <col min="17" max="17" width="18.88671875" style="7" bestFit="1" customWidth="1"/>
    <col min="18" max="18" width="8.5546875" style="7" bestFit="1" customWidth="1"/>
    <col min="19" max="19" width="10.44140625" style="7" bestFit="1" customWidth="1"/>
    <col min="20" max="20" width="11.44140625" style="7" bestFit="1" customWidth="1"/>
    <col min="21" max="22" width="14.5546875" style="7" bestFit="1" customWidth="1"/>
    <col min="23" max="23" width="15.33203125" style="7" bestFit="1" customWidth="1"/>
    <col min="24" max="24" width="14.109375" style="7" bestFit="1" customWidth="1"/>
    <col min="25" max="25" width="12.88671875" style="7" bestFit="1" customWidth="1"/>
    <col min="26" max="26" width="15.88671875" style="7" bestFit="1" customWidth="1"/>
    <col min="27" max="27" width="37.6640625" style="7" bestFit="1" customWidth="1"/>
    <col min="28" max="28" width="45.109375" style="7" bestFit="1" customWidth="1"/>
    <col min="29" max="29" width="13" style="7" customWidth="1"/>
    <col min="30" max="16384" width="8.5546875" style="7"/>
  </cols>
  <sheetData>
    <row r="2" spans="2:29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4" t="s">
        <v>22</v>
      </c>
      <c r="Y2" s="4" t="s">
        <v>23</v>
      </c>
      <c r="Z2" s="5" t="s">
        <v>24</v>
      </c>
      <c r="AA2" s="6" t="s">
        <v>25</v>
      </c>
      <c r="AB2" s="6" t="s">
        <v>26</v>
      </c>
      <c r="AC2" s="6" t="s">
        <v>27</v>
      </c>
    </row>
    <row r="4" spans="2:29" x14ac:dyDescent="0.3">
      <c r="B4" s="3"/>
      <c r="C4" s="8"/>
      <c r="D4" s="3" t="s">
        <v>28</v>
      </c>
      <c r="E4" s="3" t="s">
        <v>4</v>
      </c>
      <c r="F4" s="9">
        <v>30000</v>
      </c>
      <c r="G4" s="1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1"/>
    </row>
    <row r="5" spans="2:29" x14ac:dyDescent="0.3">
      <c r="B5" s="3" t="s">
        <v>29</v>
      </c>
      <c r="C5" s="12">
        <f>(L5-F5)/24</f>
        <v>630.92916666666679</v>
      </c>
      <c r="D5" s="3" t="s">
        <v>30</v>
      </c>
      <c r="E5" s="3" t="s">
        <v>31</v>
      </c>
      <c r="F5" s="8">
        <f>F4</f>
        <v>30000</v>
      </c>
      <c r="G5" s="9">
        <f>5000</f>
        <v>5000</v>
      </c>
      <c r="H5" s="13" t="s">
        <v>32</v>
      </c>
      <c r="I5" s="14" t="s">
        <v>33</v>
      </c>
      <c r="J5" s="9">
        <f>47345+1825+958+463.71+20-5000</f>
        <v>45611.71</v>
      </c>
      <c r="K5" s="9">
        <f>J5+5000</f>
        <v>50611.71</v>
      </c>
      <c r="L5" s="15">
        <v>45142.3</v>
      </c>
      <c r="M5" s="16">
        <v>45284</v>
      </c>
      <c r="N5" s="17">
        <v>45261</v>
      </c>
      <c r="O5" s="18">
        <f ca="1">TODAY()</f>
        <v>46106</v>
      </c>
      <c r="P5" s="18"/>
      <c r="Q5" s="3">
        <f ca="1">(YEAR(O5) - YEAR(M5)) * 12 + MONTH(O5) - MONTH(M5) + 1</f>
        <v>28</v>
      </c>
      <c r="R5" s="3" t="str">
        <f>VLOOKUP(I5, [1]Fleet!$C:$V, 20, FALSE)</f>
        <v>Yes</v>
      </c>
      <c r="S5" s="3">
        <f>VLOOKUP(I5, [1]Fleet!$C:$Q, 14, FALSE)</f>
        <v>76861</v>
      </c>
      <c r="T5" s="3"/>
      <c r="U5" s="9"/>
      <c r="V5" s="8">
        <f ca="1">L5-(C5*Q5)</f>
        <v>27476.283333333333</v>
      </c>
      <c r="W5" s="3"/>
      <c r="X5" s="11"/>
      <c r="Z5" s="12">
        <f ca="1">Q5*C5</f>
        <v>17666.01666666667</v>
      </c>
      <c r="AA5" s="12">
        <f>(J5-F5)/24</f>
        <v>650.48791666666659</v>
      </c>
      <c r="AB5" s="12">
        <f ca="1">+AA5*Q5</f>
        <v>18213.661666666663</v>
      </c>
      <c r="AC5" s="12">
        <f ca="1">+Z5-AB5</f>
        <v>-547.64499999999316</v>
      </c>
    </row>
    <row r="6" spans="2:29" x14ac:dyDescent="0.3">
      <c r="B6" s="3"/>
      <c r="C6" s="8"/>
      <c r="D6" s="3"/>
      <c r="E6" s="3"/>
      <c r="F6" s="9"/>
      <c r="G6" s="9"/>
      <c r="H6" s="19"/>
      <c r="I6" s="20"/>
      <c r="J6" s="9"/>
      <c r="K6" s="9"/>
      <c r="L6" s="8"/>
      <c r="M6" s="16"/>
      <c r="N6" s="16"/>
      <c r="O6" s="16"/>
      <c r="P6" s="16"/>
      <c r="Q6" s="3"/>
      <c r="R6" s="3"/>
      <c r="S6" s="3"/>
      <c r="T6" s="3"/>
      <c r="U6" s="9"/>
      <c r="V6" s="8"/>
      <c r="W6" s="3"/>
      <c r="X6" s="11"/>
    </row>
    <row r="7" spans="2:29" x14ac:dyDescent="0.3">
      <c r="B7" s="3"/>
      <c r="C7" s="8"/>
      <c r="D7" s="3" t="s">
        <v>28</v>
      </c>
      <c r="E7" s="3" t="s">
        <v>4</v>
      </c>
      <c r="F7" s="9">
        <v>30000</v>
      </c>
      <c r="G7" s="9"/>
      <c r="H7" s="3"/>
      <c r="I7" s="3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9"/>
      <c r="V7" s="3"/>
      <c r="W7" s="3"/>
      <c r="X7" s="11"/>
    </row>
    <row r="8" spans="2:29" x14ac:dyDescent="0.3">
      <c r="B8" s="3" t="s">
        <v>29</v>
      </c>
      <c r="C8" s="12">
        <f>(L8-F8)/24</f>
        <v>838.62375000000009</v>
      </c>
      <c r="D8" s="3" t="s">
        <v>30</v>
      </c>
      <c r="E8" s="3" t="s">
        <v>34</v>
      </c>
      <c r="F8" s="8">
        <f>F7</f>
        <v>30000</v>
      </c>
      <c r="G8" s="9">
        <f>5000</f>
        <v>5000</v>
      </c>
      <c r="H8" s="13" t="s">
        <v>32</v>
      </c>
      <c r="I8" s="21" t="s">
        <v>35</v>
      </c>
      <c r="J8" s="9">
        <f>52058+1825+958+498.02+20-5000</f>
        <v>50359.02</v>
      </c>
      <c r="K8" s="9">
        <f>J8+5000</f>
        <v>55359.02</v>
      </c>
      <c r="L8" s="15">
        <v>50126.97</v>
      </c>
      <c r="M8" s="16">
        <v>45284</v>
      </c>
      <c r="N8" s="17">
        <v>45261</v>
      </c>
      <c r="O8" s="16">
        <v>45708</v>
      </c>
      <c r="P8" s="17">
        <v>45689</v>
      </c>
      <c r="Q8" s="3">
        <f>(YEAR(O8) - YEAR(M8)) * 12 + MONTH(O8) - MONTH(M8) + 1</f>
        <v>15</v>
      </c>
      <c r="R8" s="3" t="str">
        <f>VLOOKUP(I8, [1]Fleet!$C:$V, 20, FALSE)</f>
        <v>No</v>
      </c>
      <c r="S8" s="3">
        <f>VLOOKUP(I8, [1]Fleet!$C:$Q, 14, FALSE)</f>
        <v>44327</v>
      </c>
      <c r="T8" s="22">
        <v>45717</v>
      </c>
      <c r="U8" s="9">
        <v>34090</v>
      </c>
      <c r="V8" s="8">
        <f>L8-(C8*Q8)</f>
        <v>37547.613750000004</v>
      </c>
      <c r="W8" s="8">
        <f>U8-V8</f>
        <v>-3457.6137500000041</v>
      </c>
      <c r="X8" s="11"/>
      <c r="Z8" s="12">
        <f>Q8*C8</f>
        <v>12579.356250000001</v>
      </c>
      <c r="AA8" s="12">
        <f>(J8-F8)/24</f>
        <v>848.2924999999999</v>
      </c>
      <c r="AB8" s="12">
        <f t="shared" ref="AB8:AB53" si="0">+AA8*Q8</f>
        <v>12724.387499999999</v>
      </c>
      <c r="AC8" s="12">
        <f>+Z8-AB8</f>
        <v>-145.03124999999818</v>
      </c>
    </row>
    <row r="9" spans="2:29" x14ac:dyDescent="0.3">
      <c r="B9" s="3"/>
      <c r="C9" s="3"/>
      <c r="D9" s="3"/>
      <c r="E9" s="3"/>
      <c r="F9" s="3"/>
      <c r="G9" s="9"/>
      <c r="H9" s="3"/>
      <c r="I9" s="3"/>
      <c r="J9" s="9"/>
      <c r="K9" s="9"/>
      <c r="L9" s="9"/>
      <c r="M9" s="23"/>
      <c r="N9" s="23"/>
      <c r="O9" s="3"/>
      <c r="P9" s="3"/>
      <c r="Q9" s="3"/>
      <c r="R9" s="3"/>
      <c r="S9" s="3"/>
      <c r="T9" s="3"/>
      <c r="U9" s="9"/>
      <c r="V9" s="3"/>
      <c r="W9" s="3"/>
      <c r="X9" s="11"/>
      <c r="AB9" s="12"/>
      <c r="AC9" s="12"/>
    </row>
    <row r="10" spans="2:29" x14ac:dyDescent="0.3">
      <c r="B10" s="3"/>
      <c r="C10" s="8"/>
      <c r="D10" s="3" t="s">
        <v>36</v>
      </c>
      <c r="E10" s="3" t="s">
        <v>4</v>
      </c>
      <c r="F10" s="9">
        <v>30000</v>
      </c>
      <c r="G10" s="9"/>
      <c r="H10" s="3"/>
      <c r="I10" s="3"/>
      <c r="J10" s="9"/>
      <c r="K10" s="9"/>
      <c r="L10" s="9"/>
      <c r="M10" s="23"/>
      <c r="N10" s="23"/>
      <c r="O10" s="3"/>
      <c r="P10" s="3"/>
      <c r="Q10" s="3"/>
      <c r="R10" s="3"/>
      <c r="S10" s="3"/>
      <c r="T10" s="3"/>
      <c r="U10" s="9"/>
      <c r="V10" s="3"/>
      <c r="W10" s="3"/>
      <c r="X10" s="11"/>
      <c r="AB10" s="12"/>
      <c r="AC10" s="12"/>
    </row>
    <row r="11" spans="2:29" x14ac:dyDescent="0.3">
      <c r="B11" s="3" t="s">
        <v>29</v>
      </c>
      <c r="C11" s="12">
        <f>(L11-$F$11)/24</f>
        <v>630.92916666666679</v>
      </c>
      <c r="D11" s="3" t="s">
        <v>30</v>
      </c>
      <c r="E11" s="3" t="s">
        <v>31</v>
      </c>
      <c r="F11" s="8">
        <f>F10</f>
        <v>30000</v>
      </c>
      <c r="G11" s="9">
        <f>5000+3000</f>
        <v>8000</v>
      </c>
      <c r="H11" s="13" t="s">
        <v>32</v>
      </c>
      <c r="I11" s="21" t="s">
        <v>37</v>
      </c>
      <c r="J11" s="9">
        <f>((L11+G11)/1.05)-G11</f>
        <v>42611.71428571429</v>
      </c>
      <c r="K11" s="9">
        <f>((L11+G11)/1.05)</f>
        <v>50611.71428571429</v>
      </c>
      <c r="L11" s="15">
        <v>45142.3</v>
      </c>
      <c r="M11" s="16">
        <v>45284</v>
      </c>
      <c r="N11" s="17">
        <v>45261</v>
      </c>
      <c r="O11" s="16">
        <v>45708</v>
      </c>
      <c r="P11" s="17">
        <v>45689</v>
      </c>
      <c r="Q11" s="3">
        <f t="shared" ref="Q11:Q13" si="1">(YEAR(O11) - YEAR(M11)) * 12 + MONTH(O11) - MONTH(M11) + 1</f>
        <v>15</v>
      </c>
      <c r="R11" s="3" t="str">
        <f>VLOOKUP(I11, [1]Fleet!$C:$V, 20, FALSE)</f>
        <v>Yes</v>
      </c>
      <c r="S11" s="3">
        <f>VLOOKUP(I11, [1]Fleet!$C:$Q, 14, FALSE)</f>
        <v>48902</v>
      </c>
      <c r="T11" s="22">
        <v>45748</v>
      </c>
      <c r="U11" s="9">
        <v>29990</v>
      </c>
      <c r="V11" s="8">
        <f>L11-(C11*Q11)</f>
        <v>35678.362500000003</v>
      </c>
      <c r="W11" s="8">
        <f>U11-V11</f>
        <v>-5688.3625000000029</v>
      </c>
      <c r="X11" s="11"/>
      <c r="Z11" s="12">
        <f>Q11*C11</f>
        <v>9463.9375000000018</v>
      </c>
      <c r="AA11" s="12">
        <f>(J11-$F$11)/24</f>
        <v>525.48809523809541</v>
      </c>
      <c r="AB11" s="12">
        <f t="shared" si="0"/>
        <v>7882.3214285714312</v>
      </c>
      <c r="AC11" s="12">
        <f t="shared" ref="AC11:AC53" si="2">+Z11-AB11</f>
        <v>1581.6160714285706</v>
      </c>
    </row>
    <row r="12" spans="2:29" x14ac:dyDescent="0.3">
      <c r="B12" s="3" t="s">
        <v>29</v>
      </c>
      <c r="C12" s="12">
        <f t="shared" ref="C12:C13" si="3">(L12-$F$11)/24</f>
        <v>630.92916666666679</v>
      </c>
      <c r="D12" s="3" t="s">
        <v>30</v>
      </c>
      <c r="E12" s="3" t="s">
        <v>31</v>
      </c>
      <c r="F12" s="3"/>
      <c r="G12" s="9">
        <f>5000+3000</f>
        <v>8000</v>
      </c>
      <c r="H12" s="13" t="s">
        <v>32</v>
      </c>
      <c r="I12" s="21" t="s">
        <v>38</v>
      </c>
      <c r="J12" s="9">
        <f>((L12+G12)/1.05)-G12</f>
        <v>42611.71428571429</v>
      </c>
      <c r="K12" s="9">
        <f>((L12+G12)/1.05)</f>
        <v>50611.71428571429</v>
      </c>
      <c r="L12" s="15">
        <v>45142.3</v>
      </c>
      <c r="M12" s="16">
        <v>45284</v>
      </c>
      <c r="N12" s="17">
        <v>45261</v>
      </c>
      <c r="O12" s="16">
        <v>45738</v>
      </c>
      <c r="P12" s="17">
        <v>45717</v>
      </c>
      <c r="Q12" s="3">
        <f t="shared" si="1"/>
        <v>16</v>
      </c>
      <c r="R12" s="3" t="str">
        <f>VLOOKUP(I12, [1]Fleet!$C:$V, 20, FALSE)</f>
        <v>No</v>
      </c>
      <c r="S12" s="3">
        <f>VLOOKUP(I12, [1]Fleet!$C:$Q, 14, FALSE)</f>
        <v>45512</v>
      </c>
      <c r="T12" s="22"/>
      <c r="U12" s="9"/>
      <c r="V12" s="8">
        <f>L12-(C12*Q12)</f>
        <v>35047.433333333334</v>
      </c>
      <c r="W12" s="3"/>
      <c r="X12" s="11"/>
      <c r="Z12" s="12">
        <f>Q12*C12</f>
        <v>10094.866666666669</v>
      </c>
      <c r="AA12" s="12">
        <f t="shared" ref="AA12:AA13" si="4">(J12-$F$11)/24</f>
        <v>525.48809523809541</v>
      </c>
      <c r="AB12" s="12">
        <f t="shared" si="0"/>
        <v>8407.8095238095266</v>
      </c>
      <c r="AC12" s="12">
        <f t="shared" si="2"/>
        <v>1687.057142857142</v>
      </c>
    </row>
    <row r="13" spans="2:29" x14ac:dyDescent="0.3">
      <c r="B13" s="3" t="s">
        <v>29</v>
      </c>
      <c r="C13" s="12">
        <f t="shared" si="3"/>
        <v>630.92916666666679</v>
      </c>
      <c r="D13" s="3" t="s">
        <v>30</v>
      </c>
      <c r="E13" s="3" t="s">
        <v>31</v>
      </c>
      <c r="F13" s="3"/>
      <c r="G13" s="9">
        <f>5000+3000</f>
        <v>8000</v>
      </c>
      <c r="H13" s="13" t="s">
        <v>32</v>
      </c>
      <c r="I13" s="14" t="s">
        <v>39</v>
      </c>
      <c r="J13" s="9">
        <f>((L13+G13)/1.05)-G13</f>
        <v>42611.71428571429</v>
      </c>
      <c r="K13" s="9">
        <f>((L13+G13)/1.05)</f>
        <v>50611.71428571429</v>
      </c>
      <c r="L13" s="15">
        <v>45142.3</v>
      </c>
      <c r="M13" s="16">
        <v>45284</v>
      </c>
      <c r="N13" s="17">
        <v>45261</v>
      </c>
      <c r="O13" s="18">
        <f ca="1">TODAY()</f>
        <v>46106</v>
      </c>
      <c r="P13" s="18"/>
      <c r="Q13" s="3">
        <f t="shared" ca="1" si="1"/>
        <v>28</v>
      </c>
      <c r="R13" s="3" t="str">
        <f>VLOOKUP(I13, [1]Fleet!$C:$V, 20, FALSE)</f>
        <v>Yes</v>
      </c>
      <c r="S13" s="3">
        <f>VLOOKUP(I13, [1]Fleet!$C:$Q, 14, FALSE)</f>
        <v>89435</v>
      </c>
      <c r="T13" s="3"/>
      <c r="U13" s="9"/>
      <c r="V13" s="8">
        <f ca="1">L13-(C13*Q13)</f>
        <v>27476.283333333333</v>
      </c>
      <c r="W13" s="3"/>
      <c r="X13" s="11"/>
      <c r="Z13" s="12">
        <f ca="1">Q13*C13</f>
        <v>17666.01666666667</v>
      </c>
      <c r="AA13" s="12">
        <f t="shared" si="4"/>
        <v>525.48809523809541</v>
      </c>
      <c r="AB13" s="12">
        <f t="shared" ca="1" si="0"/>
        <v>14713.666666666672</v>
      </c>
      <c r="AC13" s="12">
        <f t="shared" ca="1" si="2"/>
        <v>2952.3499999999985</v>
      </c>
    </row>
    <row r="14" spans="2:29" x14ac:dyDescent="0.3">
      <c r="AB14" s="12"/>
      <c r="AC14" s="12"/>
    </row>
    <row r="15" spans="2:29" x14ac:dyDescent="0.3">
      <c r="B15" s="3"/>
      <c r="C15" s="8"/>
      <c r="D15" s="3" t="s">
        <v>36</v>
      </c>
      <c r="E15" s="3" t="s">
        <v>4</v>
      </c>
      <c r="F15" s="9">
        <v>30000</v>
      </c>
      <c r="G15" s="9"/>
      <c r="H15" s="3"/>
      <c r="I15" s="3"/>
      <c r="J15" s="9"/>
      <c r="K15" s="9"/>
      <c r="L15" s="9"/>
      <c r="M15" s="23"/>
      <c r="N15" s="23"/>
      <c r="O15" s="3"/>
      <c r="P15" s="3"/>
      <c r="Q15" s="3"/>
      <c r="R15" s="3"/>
      <c r="S15" s="3"/>
      <c r="T15" s="3"/>
      <c r="U15" s="9"/>
      <c r="V15" s="3"/>
      <c r="W15" s="3"/>
      <c r="X15" s="11"/>
      <c r="AB15" s="12"/>
      <c r="AC15" s="12"/>
    </row>
    <row r="16" spans="2:29" x14ac:dyDescent="0.3">
      <c r="B16" s="3" t="s">
        <v>29</v>
      </c>
      <c r="C16" s="12">
        <f>(L16-$F$16)/24</f>
        <v>838.62375000000009</v>
      </c>
      <c r="D16" s="3" t="s">
        <v>30</v>
      </c>
      <c r="E16" s="3" t="s">
        <v>34</v>
      </c>
      <c r="F16" s="8">
        <f>F15</f>
        <v>30000</v>
      </c>
      <c r="G16" s="9">
        <f t="shared" ref="G16:G20" si="5">5000+3000</f>
        <v>8000</v>
      </c>
      <c r="H16" s="13" t="s">
        <v>32</v>
      </c>
      <c r="I16" s="14" t="s">
        <v>40</v>
      </c>
      <c r="J16" s="9">
        <f>((L16+G16)/1.05)-G16</f>
        <v>47359.019047619047</v>
      </c>
      <c r="K16" s="9">
        <f>((L16+G16)/1.05)</f>
        <v>55359.019047619047</v>
      </c>
      <c r="L16" s="15">
        <v>50126.97</v>
      </c>
      <c r="M16" s="16">
        <v>45284</v>
      </c>
      <c r="N16" s="17">
        <v>45261</v>
      </c>
      <c r="O16" s="18">
        <f ca="1">TODAY()</f>
        <v>46106</v>
      </c>
      <c r="P16" s="18"/>
      <c r="Q16" s="3">
        <f t="shared" ref="Q16:Q20" ca="1" si="6">(YEAR(O16) - YEAR(M16)) * 12 + MONTH(O16) - MONTH(M16) + 1</f>
        <v>28</v>
      </c>
      <c r="R16" s="3" t="str">
        <f>VLOOKUP(I16, [1]Fleet!$C:$V, 20, FALSE)</f>
        <v>Yes</v>
      </c>
      <c r="S16" s="3">
        <f>VLOOKUP(I16, [1]Fleet!$C:$Q, 14, FALSE)</f>
        <v>29935</v>
      </c>
      <c r="T16" s="3"/>
      <c r="U16" s="9"/>
      <c r="V16" s="8">
        <f ca="1">L16-(C16*Q16)</f>
        <v>26645.504999999997</v>
      </c>
      <c r="W16" s="3"/>
      <c r="X16" s="11"/>
      <c r="Z16" s="12">
        <f ca="1">Q16*C16</f>
        <v>23481.465000000004</v>
      </c>
      <c r="AB16" s="12"/>
      <c r="AC16" s="12"/>
    </row>
    <row r="17" spans="2:29" x14ac:dyDescent="0.3">
      <c r="B17" s="3" t="s">
        <v>29</v>
      </c>
      <c r="C17" s="12">
        <f t="shared" ref="C17:C20" si="7">(L17-$F$16)/24</f>
        <v>838.62375000000009</v>
      </c>
      <c r="D17" s="3" t="s">
        <v>30</v>
      </c>
      <c r="E17" s="3" t="s">
        <v>34</v>
      </c>
      <c r="F17" s="3"/>
      <c r="G17" s="9">
        <f t="shared" si="5"/>
        <v>8000</v>
      </c>
      <c r="H17" s="13" t="s">
        <v>32</v>
      </c>
      <c r="I17" s="21" t="s">
        <v>41</v>
      </c>
      <c r="J17" s="9">
        <f>((L17+G17)/1.05)-G17</f>
        <v>47359.019047619047</v>
      </c>
      <c r="K17" s="9">
        <f>((L17+G17)/1.05)</f>
        <v>55359.019047619047</v>
      </c>
      <c r="L17" s="15">
        <v>50126.97</v>
      </c>
      <c r="M17" s="16">
        <v>45284</v>
      </c>
      <c r="N17" s="17">
        <v>45261</v>
      </c>
      <c r="O17" s="16">
        <v>45738</v>
      </c>
      <c r="P17" s="17">
        <v>45717</v>
      </c>
      <c r="Q17" s="3">
        <f t="shared" si="6"/>
        <v>16</v>
      </c>
      <c r="R17" s="3" t="str">
        <f>VLOOKUP(I17, [1]Fleet!$C:$V, 20, FALSE)</f>
        <v>Yes</v>
      </c>
      <c r="S17" s="3">
        <f>VLOOKUP(I17, [1]Fleet!$C:$Q, 14, FALSE)</f>
        <v>59450</v>
      </c>
      <c r="T17" s="24">
        <v>45809</v>
      </c>
      <c r="U17" s="9">
        <v>29400</v>
      </c>
      <c r="V17" s="8">
        <f>L17-(C17*Q17)</f>
        <v>36708.99</v>
      </c>
      <c r="W17" s="8">
        <f>U17-V17</f>
        <v>-7308.989999999998</v>
      </c>
      <c r="X17" s="11">
        <f>205+5+20.75+15+90+10+10+25+88</f>
        <v>468.75</v>
      </c>
      <c r="Y17" s="25">
        <f>X17*1.05</f>
        <v>492.1875</v>
      </c>
      <c r="Z17" s="12">
        <f>Q17*C17</f>
        <v>13417.980000000001</v>
      </c>
      <c r="AA17" s="12">
        <f>(J16-$F$16)/24</f>
        <v>723.29246031746027</v>
      </c>
      <c r="AB17" s="12">
        <f t="shared" si="0"/>
        <v>11572.679365079364</v>
      </c>
      <c r="AC17" s="12">
        <f t="shared" si="2"/>
        <v>1845.3006349206371</v>
      </c>
    </row>
    <row r="18" spans="2:29" x14ac:dyDescent="0.3">
      <c r="B18" s="3" t="s">
        <v>29</v>
      </c>
      <c r="C18" s="12">
        <f t="shared" si="7"/>
        <v>838.62375000000009</v>
      </c>
      <c r="D18" s="3" t="s">
        <v>30</v>
      </c>
      <c r="E18" s="3" t="s">
        <v>34</v>
      </c>
      <c r="F18" s="3"/>
      <c r="G18" s="9">
        <f t="shared" si="5"/>
        <v>8000</v>
      </c>
      <c r="H18" s="13" t="s">
        <v>32</v>
      </c>
      <c r="I18" s="21" t="s">
        <v>42</v>
      </c>
      <c r="J18" s="9">
        <f>((L18+G18)/1.05)-G18</f>
        <v>47359.019047619047</v>
      </c>
      <c r="K18" s="9">
        <f>((L18+G18)/1.05)</f>
        <v>55359.019047619047</v>
      </c>
      <c r="L18" s="15">
        <v>50126.97</v>
      </c>
      <c r="M18" s="16">
        <v>45284</v>
      </c>
      <c r="N18" s="17">
        <v>45261</v>
      </c>
      <c r="O18" s="16">
        <v>45738</v>
      </c>
      <c r="P18" s="17">
        <v>45717</v>
      </c>
      <c r="Q18" s="3">
        <f t="shared" si="6"/>
        <v>16</v>
      </c>
      <c r="R18" s="3" t="str">
        <f>VLOOKUP(I18, [1]Fleet!$C:$V, 20, FALSE)</f>
        <v>Yes</v>
      </c>
      <c r="S18" s="3">
        <f>VLOOKUP(I18, [1]Fleet!$C:$Q, 14, FALSE)</f>
        <v>35431</v>
      </c>
      <c r="T18" s="24">
        <v>45809</v>
      </c>
      <c r="U18" s="9">
        <v>32400</v>
      </c>
      <c r="V18" s="8">
        <f>L18-(C18*Q18)</f>
        <v>36708.99</v>
      </c>
      <c r="W18" s="8">
        <f t="shared" ref="W18:W20" si="8">U18-V18</f>
        <v>-4308.989999999998</v>
      </c>
      <c r="X18" s="11">
        <f>205+5+20.75+15+45+90+10+10+25+88</f>
        <v>513.75</v>
      </c>
      <c r="Y18" s="25">
        <f>X18*1.05</f>
        <v>539.4375</v>
      </c>
      <c r="Z18" s="12">
        <f>Q18*C18</f>
        <v>13417.980000000001</v>
      </c>
      <c r="AA18" s="12">
        <f t="shared" ref="AA18:AA20" si="9">(J17-$F$16)/24</f>
        <v>723.29246031746027</v>
      </c>
      <c r="AB18" s="12">
        <f t="shared" si="0"/>
        <v>11572.679365079364</v>
      </c>
      <c r="AC18" s="12">
        <f t="shared" si="2"/>
        <v>1845.3006349206371</v>
      </c>
    </row>
    <row r="19" spans="2:29" x14ac:dyDescent="0.3">
      <c r="B19" s="3" t="s">
        <v>29</v>
      </c>
      <c r="C19" s="12">
        <f t="shared" si="7"/>
        <v>838.62375000000009</v>
      </c>
      <c r="D19" s="3" t="s">
        <v>30</v>
      </c>
      <c r="E19" s="3" t="s">
        <v>34</v>
      </c>
      <c r="F19" s="3"/>
      <c r="G19" s="9">
        <f t="shared" si="5"/>
        <v>8000</v>
      </c>
      <c r="H19" s="13" t="s">
        <v>32</v>
      </c>
      <c r="I19" s="21" t="s">
        <v>43</v>
      </c>
      <c r="J19" s="9">
        <f>((L19+G19)/1.05)-G19</f>
        <v>47359.019047619047</v>
      </c>
      <c r="K19" s="9">
        <f>((L19+G19)/1.05)</f>
        <v>55359.019047619047</v>
      </c>
      <c r="L19" s="15">
        <v>50126.97</v>
      </c>
      <c r="M19" s="16">
        <v>45284</v>
      </c>
      <c r="N19" s="17">
        <v>45261</v>
      </c>
      <c r="O19" s="16">
        <v>45738</v>
      </c>
      <c r="P19" s="17">
        <v>45717</v>
      </c>
      <c r="Q19" s="3">
        <f t="shared" si="6"/>
        <v>16</v>
      </c>
      <c r="R19" s="3" t="str">
        <f>VLOOKUP(I19, [1]Fleet!$C:$V, 20, FALSE)</f>
        <v>No</v>
      </c>
      <c r="S19" s="3">
        <f>VLOOKUP(I19, [1]Fleet!$C:$Q, 14, FALSE)</f>
        <v>41898</v>
      </c>
      <c r="T19" s="24">
        <v>45809</v>
      </c>
      <c r="U19" s="9">
        <v>31400</v>
      </c>
      <c r="V19" s="8">
        <f>L19-(C19*Q19)</f>
        <v>36708.99</v>
      </c>
      <c r="W19" s="8">
        <f t="shared" si="8"/>
        <v>-5308.989999999998</v>
      </c>
      <c r="X19" s="11">
        <f>205+5+20.75+15+90+10+10+25+88</f>
        <v>468.75</v>
      </c>
      <c r="Y19" s="25">
        <f>X19*1.05</f>
        <v>492.1875</v>
      </c>
      <c r="Z19" s="12">
        <f>Q19*C19</f>
        <v>13417.980000000001</v>
      </c>
      <c r="AA19" s="12">
        <f t="shared" si="9"/>
        <v>723.29246031746027</v>
      </c>
      <c r="AB19" s="12">
        <f t="shared" si="0"/>
        <v>11572.679365079364</v>
      </c>
      <c r="AC19" s="12">
        <f t="shared" si="2"/>
        <v>1845.3006349206371</v>
      </c>
    </row>
    <row r="20" spans="2:29" x14ac:dyDescent="0.3">
      <c r="B20" s="3" t="s">
        <v>29</v>
      </c>
      <c r="C20" s="12">
        <f t="shared" si="7"/>
        <v>838.62375000000009</v>
      </c>
      <c r="D20" s="3" t="s">
        <v>30</v>
      </c>
      <c r="E20" s="3" t="s">
        <v>34</v>
      </c>
      <c r="F20" s="3"/>
      <c r="G20" s="9">
        <f t="shared" si="5"/>
        <v>8000</v>
      </c>
      <c r="H20" s="13" t="s">
        <v>32</v>
      </c>
      <c r="I20" s="21" t="s">
        <v>44</v>
      </c>
      <c r="J20" s="9">
        <f>((L20+G20)/1.05)-G20</f>
        <v>47359.019047619047</v>
      </c>
      <c r="K20" s="9">
        <f>((L20+G20)/1.05)</f>
        <v>55359.019047619047</v>
      </c>
      <c r="L20" s="15">
        <v>50126.97</v>
      </c>
      <c r="M20" s="16">
        <v>45284</v>
      </c>
      <c r="N20" s="17">
        <v>45261</v>
      </c>
      <c r="O20" s="16">
        <v>45738</v>
      </c>
      <c r="P20" s="17">
        <v>45717</v>
      </c>
      <c r="Q20" s="3">
        <f t="shared" si="6"/>
        <v>16</v>
      </c>
      <c r="R20" s="3" t="str">
        <f>VLOOKUP(I20, [1]Fleet!$C:$V, 20, FALSE)</f>
        <v>Yes</v>
      </c>
      <c r="S20" s="3">
        <f>VLOOKUP(I20, [1]Fleet!$C:$Q, 14, FALSE)</f>
        <v>47136</v>
      </c>
      <c r="T20" s="24">
        <v>45809</v>
      </c>
      <c r="U20" s="9">
        <v>31400</v>
      </c>
      <c r="V20" s="8">
        <f>L20-(C20*Q20)</f>
        <v>36708.99</v>
      </c>
      <c r="W20" s="8">
        <f t="shared" si="8"/>
        <v>-5308.989999999998</v>
      </c>
      <c r="X20" s="11">
        <f>205+5+20.75+15+90+10+10+25+88</f>
        <v>468.75</v>
      </c>
      <c r="Y20" s="25">
        <f>X20*1.05</f>
        <v>492.1875</v>
      </c>
      <c r="Z20" s="12">
        <f>Q20*C20</f>
        <v>13417.980000000001</v>
      </c>
      <c r="AA20" s="12">
        <f t="shared" si="9"/>
        <v>723.29246031746027</v>
      </c>
      <c r="AB20" s="12">
        <f t="shared" si="0"/>
        <v>11572.679365079364</v>
      </c>
      <c r="AC20" s="12">
        <f t="shared" si="2"/>
        <v>1845.3006349206371</v>
      </c>
    </row>
    <row r="21" spans="2:29" x14ac:dyDescent="0.3">
      <c r="X21" s="25"/>
      <c r="AB21" s="12"/>
      <c r="AC21" s="12"/>
    </row>
    <row r="22" spans="2:29" x14ac:dyDescent="0.3">
      <c r="B22" s="3"/>
      <c r="C22" s="8"/>
      <c r="D22" s="3" t="s">
        <v>45</v>
      </c>
      <c r="E22" s="3" t="s">
        <v>4</v>
      </c>
      <c r="F22" s="9">
        <v>27500</v>
      </c>
      <c r="G22" s="9"/>
      <c r="H22" s="3"/>
      <c r="I22" s="3"/>
      <c r="J22" s="9"/>
      <c r="K22" s="9"/>
      <c r="L22" s="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AB22" s="12"/>
      <c r="AC22" s="12"/>
    </row>
    <row r="23" spans="2:29" x14ac:dyDescent="0.3">
      <c r="B23" s="3" t="s">
        <v>46</v>
      </c>
      <c r="C23" s="12">
        <f>(L23-$F$23)/24</f>
        <v>1018.5108333333334</v>
      </c>
      <c r="D23" s="26" t="s">
        <v>47</v>
      </c>
      <c r="E23" s="3" t="s">
        <v>34</v>
      </c>
      <c r="F23" s="8">
        <f>F22</f>
        <v>27500</v>
      </c>
      <c r="G23" s="9">
        <v>5000</v>
      </c>
      <c r="H23" s="27" t="s">
        <v>32</v>
      </c>
      <c r="I23" s="21" t="s">
        <v>48</v>
      </c>
      <c r="J23" s="9">
        <f>((L23+G23)/1.05)-G23</f>
        <v>49232.62857142857</v>
      </c>
      <c r="K23" s="9">
        <f>((L23+G23)/1.05)</f>
        <v>54232.62857142857</v>
      </c>
      <c r="L23" s="15">
        <v>51944.26</v>
      </c>
      <c r="M23" s="16">
        <v>45566</v>
      </c>
      <c r="N23" s="17">
        <v>45566</v>
      </c>
      <c r="O23" s="16">
        <v>45735</v>
      </c>
      <c r="P23" s="17">
        <v>45717</v>
      </c>
      <c r="Q23" s="3">
        <f>(YEAR(O23) - YEAR(M23)) * 12 + MONTH(O23) - MONTH(M23) + 1</f>
        <v>6</v>
      </c>
      <c r="R23" s="3" t="str">
        <f>VLOOKUP(I23, [1]Fleet!$C:$V, 20, FALSE)</f>
        <v>No</v>
      </c>
      <c r="S23" s="3">
        <f>VLOOKUP(I23, [1]Fleet!$C:$Q, 14, FALSE)</f>
        <v>5925</v>
      </c>
      <c r="T23" s="22">
        <v>45748</v>
      </c>
      <c r="U23" s="9">
        <v>50589</v>
      </c>
      <c r="V23" s="8">
        <f>L23-(C23*Q23)</f>
        <v>45833.195</v>
      </c>
      <c r="W23" s="8">
        <f>U23-V23</f>
        <v>4755.8050000000003</v>
      </c>
      <c r="Z23" s="28">
        <f>Q23*C23</f>
        <v>6111.0650000000005</v>
      </c>
      <c r="AA23" s="12">
        <f>(J23-$F$23)/24</f>
        <v>905.52619047619044</v>
      </c>
      <c r="AB23" s="12">
        <f t="shared" si="0"/>
        <v>5433.1571428571424</v>
      </c>
      <c r="AC23" s="12">
        <f t="shared" si="2"/>
        <v>677.90785714285812</v>
      </c>
    </row>
    <row r="24" spans="2:29" x14ac:dyDescent="0.3">
      <c r="B24" s="3" t="s">
        <v>46</v>
      </c>
      <c r="C24" s="12">
        <f t="shared" ref="C24:C32" si="10">(L24-$F$23)/24</f>
        <v>1018.5108333333334</v>
      </c>
      <c r="D24" s="26" t="s">
        <v>47</v>
      </c>
      <c r="E24" s="3" t="s">
        <v>34</v>
      </c>
      <c r="F24" s="3"/>
      <c r="G24" s="9">
        <v>5000</v>
      </c>
      <c r="H24" s="27" t="s">
        <v>32</v>
      </c>
      <c r="I24" s="21" t="s">
        <v>49</v>
      </c>
      <c r="J24" s="9">
        <f>((L24+G24)/1.05)-G24</f>
        <v>49232.62857142857</v>
      </c>
      <c r="K24" s="9">
        <f>((L24+G24)/1.05)</f>
        <v>54232.62857142857</v>
      </c>
      <c r="L24" s="15">
        <v>51944.26</v>
      </c>
      <c r="M24" s="16">
        <v>45563</v>
      </c>
      <c r="N24" s="17">
        <v>45536</v>
      </c>
      <c r="O24" s="16">
        <v>45735</v>
      </c>
      <c r="P24" s="17">
        <v>45717</v>
      </c>
      <c r="Q24" s="3">
        <f>(YEAR(O24) - YEAR(M24)) * 12 + MONTH(O24) - MONTH(M24) + 1</f>
        <v>7</v>
      </c>
      <c r="R24" s="3" t="str">
        <f>VLOOKUP(I24, [1]Fleet!$C:$V, 20, FALSE)</f>
        <v>No</v>
      </c>
      <c r="S24" s="3">
        <f>VLOOKUP(I24, [1]Fleet!$C:$Q, 14, FALSE)</f>
        <v>9310</v>
      </c>
      <c r="T24" s="22">
        <v>45748</v>
      </c>
      <c r="U24" s="9">
        <v>48519.03</v>
      </c>
      <c r="V24" s="8">
        <f>L24-(C24*Q24)</f>
        <v>44814.684166666666</v>
      </c>
      <c r="W24" s="8">
        <f t="shared" ref="W24:W26" si="11">U24-V24</f>
        <v>3704.3458333333328</v>
      </c>
      <c r="Z24" s="28">
        <f>Q24*C24</f>
        <v>7129.5758333333333</v>
      </c>
      <c r="AA24" s="12">
        <f t="shared" ref="AA24:AA26" si="12">(J24-$F$23)/24</f>
        <v>905.52619047619044</v>
      </c>
      <c r="AB24" s="12">
        <f t="shared" si="0"/>
        <v>6338.6833333333334</v>
      </c>
      <c r="AC24" s="12">
        <f t="shared" si="2"/>
        <v>790.89249999999993</v>
      </c>
    </row>
    <row r="25" spans="2:29" x14ac:dyDescent="0.3">
      <c r="B25" s="3" t="s">
        <v>46</v>
      </c>
      <c r="C25" s="12">
        <f t="shared" si="10"/>
        <v>1018.5108333333334</v>
      </c>
      <c r="D25" s="26" t="s">
        <v>47</v>
      </c>
      <c r="E25" s="3" t="s">
        <v>34</v>
      </c>
      <c r="F25" s="3"/>
      <c r="G25" s="9">
        <v>5000</v>
      </c>
      <c r="H25" s="27" t="s">
        <v>32</v>
      </c>
      <c r="I25" s="21" t="s">
        <v>50</v>
      </c>
      <c r="J25" s="9">
        <f>((L25+G25)/1.05)-G25</f>
        <v>49232.62857142857</v>
      </c>
      <c r="K25" s="9">
        <f>((L25+G25)/1.05)</f>
        <v>54232.62857142857</v>
      </c>
      <c r="L25" s="15">
        <v>51944.26</v>
      </c>
      <c r="M25" s="16">
        <v>45563</v>
      </c>
      <c r="N25" s="17">
        <v>45536</v>
      </c>
      <c r="O25" s="16">
        <v>45735</v>
      </c>
      <c r="P25" s="17">
        <v>45717</v>
      </c>
      <c r="Q25" s="3">
        <f>(YEAR(O25) - YEAR(M25)) * 12 + MONTH(O25) - MONTH(M25) + 1</f>
        <v>7</v>
      </c>
      <c r="R25" s="3" t="str">
        <f>VLOOKUP(I25, [1]Fleet!$C:$V, 20, FALSE)</f>
        <v>No</v>
      </c>
      <c r="S25" s="3">
        <f>VLOOKUP(I25, [1]Fleet!$C:$Q, 14, FALSE)</f>
        <v>12502</v>
      </c>
      <c r="T25" s="22">
        <v>45748</v>
      </c>
      <c r="U25" s="9">
        <v>46731.51</v>
      </c>
      <c r="V25" s="8">
        <f>L25-(C25*Q25)</f>
        <v>44814.684166666666</v>
      </c>
      <c r="W25" s="8">
        <f t="shared" si="11"/>
        <v>1916.825833333336</v>
      </c>
      <c r="Z25" s="28">
        <f>Q25*C25</f>
        <v>7129.5758333333333</v>
      </c>
      <c r="AA25" s="12">
        <f t="shared" si="12"/>
        <v>905.52619047619044</v>
      </c>
      <c r="AB25" s="12">
        <f t="shared" si="0"/>
        <v>6338.6833333333334</v>
      </c>
      <c r="AC25" s="12">
        <f t="shared" si="2"/>
        <v>790.89249999999993</v>
      </c>
    </row>
    <row r="26" spans="2:29" x14ac:dyDescent="0.3">
      <c r="B26" s="3" t="s">
        <v>46</v>
      </c>
      <c r="C26" s="12">
        <f t="shared" si="10"/>
        <v>1018.5108333333334</v>
      </c>
      <c r="D26" s="26" t="s">
        <v>47</v>
      </c>
      <c r="E26" s="3" t="s">
        <v>34</v>
      </c>
      <c r="F26" s="3"/>
      <c r="G26" s="9">
        <v>5000</v>
      </c>
      <c r="H26" s="27" t="s">
        <v>32</v>
      </c>
      <c r="I26" s="21" t="s">
        <v>51</v>
      </c>
      <c r="J26" s="9">
        <f>((L26+G26)/1.05)-G26</f>
        <v>49232.62857142857</v>
      </c>
      <c r="K26" s="9">
        <f>((L26+G26)/1.05)</f>
        <v>54232.62857142857</v>
      </c>
      <c r="L26" s="15">
        <v>51944.26</v>
      </c>
      <c r="M26" s="16">
        <v>45563</v>
      </c>
      <c r="N26" s="17">
        <v>45536</v>
      </c>
      <c r="O26" s="16">
        <v>45735</v>
      </c>
      <c r="P26" s="17">
        <v>45717</v>
      </c>
      <c r="Q26" s="3">
        <f>(YEAR(O26) - YEAR(M26)) * 12 + MONTH(O26) - MONTH(M26) + 1</f>
        <v>7</v>
      </c>
      <c r="R26" s="3" t="str">
        <f>VLOOKUP(I26, [1]Fleet!$C:$V, 20, FALSE)</f>
        <v>No</v>
      </c>
      <c r="S26" s="3">
        <f>VLOOKUP(I26, [1]Fleet!$C:$Q, 14, FALSE)</f>
        <v>3661</v>
      </c>
      <c r="T26" s="22">
        <v>45748</v>
      </c>
      <c r="U26" s="9">
        <v>51132.5</v>
      </c>
      <c r="V26" s="8">
        <f>L26-(C26*Q26)</f>
        <v>44814.684166666666</v>
      </c>
      <c r="W26" s="8">
        <f t="shared" si="11"/>
        <v>6317.815833333334</v>
      </c>
      <c r="Z26" s="28">
        <f>Q26*C26</f>
        <v>7129.5758333333333</v>
      </c>
      <c r="AA26" s="12">
        <f t="shared" si="12"/>
        <v>905.52619047619044</v>
      </c>
      <c r="AB26" s="12">
        <f t="shared" si="0"/>
        <v>6338.6833333333334</v>
      </c>
      <c r="AC26" s="12">
        <f t="shared" si="2"/>
        <v>790.89249999999993</v>
      </c>
    </row>
    <row r="27" spans="2:29" x14ac:dyDescent="0.3">
      <c r="C27" s="8"/>
      <c r="N27" s="17"/>
      <c r="AB27" s="12"/>
      <c r="AC27" s="12"/>
    </row>
    <row r="28" spans="2:29" x14ac:dyDescent="0.3">
      <c r="B28" s="3" t="s">
        <v>46</v>
      </c>
      <c r="C28" s="12">
        <f t="shared" si="10"/>
        <v>1243.0229166666668</v>
      </c>
      <c r="D28" s="26" t="s">
        <v>47</v>
      </c>
      <c r="E28" s="3" t="s">
        <v>34</v>
      </c>
      <c r="F28" s="29" t="s">
        <v>52</v>
      </c>
      <c r="G28" s="9">
        <v>0</v>
      </c>
      <c r="H28" s="13" t="s">
        <v>32</v>
      </c>
      <c r="I28" s="21" t="s">
        <v>53</v>
      </c>
      <c r="J28" s="9">
        <f>((L28+G28)/1.05)-G28</f>
        <v>54602.428571428572</v>
      </c>
      <c r="K28" s="9">
        <f>((L28+G28)/1.05)</f>
        <v>54602.428571428572</v>
      </c>
      <c r="L28" s="30">
        <v>57332.55</v>
      </c>
      <c r="M28" s="16">
        <v>45435</v>
      </c>
      <c r="N28" s="17">
        <v>45413</v>
      </c>
      <c r="O28" s="16">
        <v>45596</v>
      </c>
      <c r="P28" s="17">
        <v>45566</v>
      </c>
      <c r="Q28" s="3">
        <f>(YEAR(O28) - YEAR(M28)) * 12 + MONTH(O28) - MONTH(M28) + 1</f>
        <v>6</v>
      </c>
      <c r="R28" s="3" t="str">
        <f>VLOOKUP(I28, [1]Fleet!$C:$V, 20, FALSE)</f>
        <v>Yes</v>
      </c>
      <c r="S28" s="3">
        <f>VLOOKUP(I28, [1]Fleet!$C:$Q, 14, FALSE)</f>
        <v>13709</v>
      </c>
      <c r="T28" s="22">
        <v>45627</v>
      </c>
      <c r="U28" s="9">
        <v>42918.63</v>
      </c>
      <c r="V28" s="8">
        <f>L28-(C28*Q28)</f>
        <v>49874.412500000006</v>
      </c>
      <c r="W28" s="8">
        <f>U28-V28</f>
        <v>-6955.7825000000084</v>
      </c>
      <c r="Z28" s="28">
        <f>Q28*C28</f>
        <v>7458.1375000000007</v>
      </c>
      <c r="AA28" s="12">
        <f>(J28-$F$23)/24</f>
        <v>1129.2678571428571</v>
      </c>
      <c r="AB28" s="12">
        <f t="shared" si="0"/>
        <v>6775.6071428571431</v>
      </c>
      <c r="AC28" s="12">
        <f t="shared" si="2"/>
        <v>682.53035714285761</v>
      </c>
    </row>
    <row r="29" spans="2:29" x14ac:dyDescent="0.3">
      <c r="B29" s="3" t="s">
        <v>46</v>
      </c>
      <c r="C29" s="12">
        <f t="shared" si="10"/>
        <v>1243.0229166666668</v>
      </c>
      <c r="D29" s="26" t="s">
        <v>47</v>
      </c>
      <c r="E29" s="3" t="s">
        <v>34</v>
      </c>
      <c r="F29" s="29" t="s">
        <v>52</v>
      </c>
      <c r="G29" s="9">
        <v>0</v>
      </c>
      <c r="H29" s="13" t="s">
        <v>32</v>
      </c>
      <c r="I29" s="21" t="s">
        <v>54</v>
      </c>
      <c r="J29" s="9">
        <f>((L29+G29)/1.05)-G29</f>
        <v>54602.428571428572</v>
      </c>
      <c r="K29" s="9">
        <f>((L29+G29)/1.05)</f>
        <v>54602.428571428572</v>
      </c>
      <c r="L29" s="30">
        <v>57332.55</v>
      </c>
      <c r="M29" s="16">
        <v>45435</v>
      </c>
      <c r="N29" s="17">
        <v>45413</v>
      </c>
      <c r="O29" s="16">
        <v>45596</v>
      </c>
      <c r="P29" s="17">
        <v>45566</v>
      </c>
      <c r="Q29" s="3">
        <f>(YEAR(O29) - YEAR(M29)) * 12 + MONTH(O29) - MONTH(M29) + 1</f>
        <v>6</v>
      </c>
      <c r="R29" s="3" t="str">
        <f>VLOOKUP(I29, [1]Fleet!$C:$V, 20, FALSE)</f>
        <v>No</v>
      </c>
      <c r="S29" s="3">
        <f>VLOOKUP(I29, [1]Fleet!$C:$Q, 14, FALSE)</f>
        <v>12648</v>
      </c>
      <c r="T29" s="22">
        <v>45627</v>
      </c>
      <c r="U29" s="9">
        <v>45932.1</v>
      </c>
      <c r="V29" s="8">
        <f>L29-(C29*Q29)</f>
        <v>49874.412500000006</v>
      </c>
      <c r="W29" s="8">
        <f t="shared" ref="W29:W32" si="13">U29-V29</f>
        <v>-3942.3125000000073</v>
      </c>
      <c r="Z29" s="28">
        <f>Q29*C29</f>
        <v>7458.1375000000007</v>
      </c>
      <c r="AA29" s="12">
        <f t="shared" ref="AA29:AA32" si="14">(J29-$F$23)/24</f>
        <v>1129.2678571428571</v>
      </c>
      <c r="AB29" s="12">
        <f t="shared" si="0"/>
        <v>6775.6071428571431</v>
      </c>
      <c r="AC29" s="12">
        <f t="shared" si="2"/>
        <v>682.53035714285761</v>
      </c>
    </row>
    <row r="30" spans="2:29" x14ac:dyDescent="0.3">
      <c r="B30" s="3" t="s">
        <v>46</v>
      </c>
      <c r="C30" s="12">
        <f t="shared" si="10"/>
        <v>1243.0229166666668</v>
      </c>
      <c r="D30" s="26" t="s">
        <v>47</v>
      </c>
      <c r="E30" s="3" t="s">
        <v>34</v>
      </c>
      <c r="F30" s="9"/>
      <c r="G30" s="9">
        <v>0</v>
      </c>
      <c r="H30" s="13" t="s">
        <v>32</v>
      </c>
      <c r="I30" s="31" t="s">
        <v>55</v>
      </c>
      <c r="J30" s="9">
        <f>((L30+G30)/1.05)-G30</f>
        <v>54602.428571428572</v>
      </c>
      <c r="K30" s="9">
        <f>((L30+G30)/1.05)</f>
        <v>54602.428571428572</v>
      </c>
      <c r="L30" s="32">
        <v>57332.55</v>
      </c>
      <c r="M30" s="16">
        <v>45434</v>
      </c>
      <c r="N30" s="17">
        <v>45413</v>
      </c>
      <c r="O30" s="16">
        <v>45596</v>
      </c>
      <c r="P30" s="17">
        <v>45566</v>
      </c>
      <c r="Q30" s="3">
        <f>(YEAR(O30) - YEAR(M30)) * 12 + MONTH(O30) - MONTH(M30) + 1</f>
        <v>6</v>
      </c>
      <c r="R30" s="3" t="str">
        <f>VLOOKUP(I30, [1]Fleet!$C:$V, 20, FALSE)</f>
        <v>No</v>
      </c>
      <c r="S30" s="3">
        <f>VLOOKUP(I30, [1]Fleet!$C:$Q, 14, FALSE)</f>
        <v>11881</v>
      </c>
      <c r="T30" s="22">
        <v>45627</v>
      </c>
      <c r="U30" s="9">
        <v>47984.160000000003</v>
      </c>
      <c r="V30" s="8">
        <f>L30-(C30*Q30)</f>
        <v>49874.412500000006</v>
      </c>
      <c r="W30" s="8">
        <f t="shared" si="13"/>
        <v>-1890.2525000000023</v>
      </c>
      <c r="Z30" s="28">
        <f>Q30*C30</f>
        <v>7458.1375000000007</v>
      </c>
      <c r="AA30" s="12">
        <f t="shared" si="14"/>
        <v>1129.2678571428571</v>
      </c>
      <c r="AB30" s="12">
        <f t="shared" si="0"/>
        <v>6775.6071428571431</v>
      </c>
      <c r="AC30" s="12">
        <f t="shared" si="2"/>
        <v>682.53035714285761</v>
      </c>
    </row>
    <row r="31" spans="2:29" x14ac:dyDescent="0.3">
      <c r="B31" s="3" t="s">
        <v>46</v>
      </c>
      <c r="C31" s="12">
        <f t="shared" si="10"/>
        <v>1243.0229166666668</v>
      </c>
      <c r="D31" s="26" t="s">
        <v>47</v>
      </c>
      <c r="E31" s="3" t="s">
        <v>34</v>
      </c>
      <c r="F31" s="3"/>
      <c r="G31" s="9">
        <v>0</v>
      </c>
      <c r="H31" s="13" t="s">
        <v>32</v>
      </c>
      <c r="I31" s="21" t="s">
        <v>56</v>
      </c>
      <c r="J31" s="9">
        <f>((L31+G31)/1.05)-G31</f>
        <v>54602.428571428572</v>
      </c>
      <c r="K31" s="9">
        <f>((L31+G31)/1.05)</f>
        <v>54602.428571428572</v>
      </c>
      <c r="L31" s="32">
        <v>57332.55</v>
      </c>
      <c r="M31" s="16">
        <v>45434</v>
      </c>
      <c r="N31" s="17">
        <v>45413</v>
      </c>
      <c r="O31" s="16">
        <v>45573</v>
      </c>
      <c r="P31" s="17">
        <v>45566</v>
      </c>
      <c r="Q31" s="3">
        <f>(YEAR(O31) - YEAR(M31)) * 12 + MONTH(O31) - MONTH(M31) + 1</f>
        <v>6</v>
      </c>
      <c r="R31" s="3" t="str">
        <f>VLOOKUP(I31, [1]Fleet!$C:$V, 20, FALSE)</f>
        <v>Yes</v>
      </c>
      <c r="S31" s="3">
        <f>VLOOKUP(I31, [1]Fleet!$C:$Q, 14, FALSE)</f>
        <v>11600</v>
      </c>
      <c r="T31" s="22">
        <v>45627</v>
      </c>
      <c r="U31" s="9">
        <v>43697.45</v>
      </c>
      <c r="V31" s="8">
        <f>L31-(C31*Q31)</f>
        <v>49874.412500000006</v>
      </c>
      <c r="W31" s="8">
        <f t="shared" si="13"/>
        <v>-6176.9625000000087</v>
      </c>
      <c r="Z31" s="28">
        <f>Q31*C31</f>
        <v>7458.1375000000007</v>
      </c>
      <c r="AA31" s="12">
        <f t="shared" si="14"/>
        <v>1129.2678571428571</v>
      </c>
      <c r="AB31" s="12">
        <f t="shared" si="0"/>
        <v>6775.6071428571431</v>
      </c>
      <c r="AC31" s="12">
        <f t="shared" si="2"/>
        <v>682.53035714285761</v>
      </c>
    </row>
    <row r="32" spans="2:29" x14ac:dyDescent="0.3">
      <c r="B32" s="3" t="s">
        <v>46</v>
      </c>
      <c r="C32" s="12">
        <f t="shared" si="10"/>
        <v>1243.0229166666668</v>
      </c>
      <c r="D32" s="26" t="s">
        <v>47</v>
      </c>
      <c r="E32" s="3" t="s">
        <v>34</v>
      </c>
      <c r="F32" s="29" t="s">
        <v>52</v>
      </c>
      <c r="G32" s="9">
        <v>0</v>
      </c>
      <c r="H32" s="13" t="s">
        <v>32</v>
      </c>
      <c r="I32" s="21" t="s">
        <v>57</v>
      </c>
      <c r="J32" s="9">
        <f>((L32+G32)/1.05)-G32</f>
        <v>54602.428571428572</v>
      </c>
      <c r="K32" s="9">
        <f>((L32+G32)/1.05)</f>
        <v>54602.428571428572</v>
      </c>
      <c r="L32" s="30">
        <v>57332.55</v>
      </c>
      <c r="M32" s="16">
        <v>45435</v>
      </c>
      <c r="N32" s="17">
        <v>45413</v>
      </c>
      <c r="O32" s="16">
        <v>45596</v>
      </c>
      <c r="P32" s="17">
        <v>45566</v>
      </c>
      <c r="Q32" s="3">
        <f>(YEAR(O32) - YEAR(M32)) * 12 + MONTH(O32) - MONTH(M32) + 1</f>
        <v>6</v>
      </c>
      <c r="R32" s="3" t="str">
        <f>VLOOKUP(I32, [1]Fleet!$C:$V, 20, FALSE)</f>
        <v>No</v>
      </c>
      <c r="S32" s="3">
        <f>VLOOKUP(I32, [1]Fleet!$C:$Q, 14, FALSE)</f>
        <v>11411</v>
      </c>
      <c r="T32" s="22">
        <v>45627</v>
      </c>
      <c r="U32" s="9">
        <v>46471.360000000001</v>
      </c>
      <c r="V32" s="8">
        <f>L32-(C32*Q32)</f>
        <v>49874.412500000006</v>
      </c>
      <c r="W32" s="8">
        <f t="shared" si="13"/>
        <v>-3403.0525000000052</v>
      </c>
      <c r="Z32" s="28">
        <f>Q32*C32</f>
        <v>7458.1375000000007</v>
      </c>
      <c r="AA32" s="12">
        <f t="shared" si="14"/>
        <v>1129.2678571428571</v>
      </c>
      <c r="AB32" s="12">
        <f t="shared" si="0"/>
        <v>6775.6071428571431</v>
      </c>
      <c r="AC32" s="12">
        <f t="shared" si="2"/>
        <v>682.53035714285761</v>
      </c>
    </row>
    <row r="33" spans="2:29" x14ac:dyDescent="0.3">
      <c r="AB33" s="12"/>
      <c r="AC33" s="12"/>
    </row>
    <row r="34" spans="2:29" x14ac:dyDescent="0.3">
      <c r="B34" s="3"/>
      <c r="C34" s="8"/>
      <c r="D34" s="3" t="s">
        <v>58</v>
      </c>
      <c r="E34" s="3" t="s">
        <v>4</v>
      </c>
      <c r="F34" s="9">
        <v>22300</v>
      </c>
      <c r="G34" s="9"/>
      <c r="H34" s="3"/>
      <c r="I34" s="3"/>
      <c r="J34" s="9"/>
      <c r="K34" s="9"/>
      <c r="L34" s="9"/>
      <c r="M34" s="23"/>
      <c r="N34" s="23"/>
      <c r="O34" s="3"/>
      <c r="P34" s="3"/>
      <c r="Q34" s="3"/>
      <c r="R34" s="3"/>
      <c r="S34" s="3"/>
      <c r="T34" s="3"/>
      <c r="U34" s="9"/>
      <c r="V34" s="3"/>
      <c r="W34" s="3"/>
      <c r="X34" s="11"/>
      <c r="AB34" s="12"/>
      <c r="AC34" s="12"/>
    </row>
    <row r="35" spans="2:29" x14ac:dyDescent="0.3">
      <c r="B35" s="3" t="s">
        <v>59</v>
      </c>
      <c r="C35" s="12">
        <f>(L35-$F$35)/24</f>
        <v>1073.2708333333333</v>
      </c>
      <c r="D35" s="3" t="s">
        <v>30</v>
      </c>
      <c r="E35" s="3" t="s">
        <v>60</v>
      </c>
      <c r="F35" s="8">
        <f>F34</f>
        <v>22300</v>
      </c>
      <c r="G35" s="9">
        <v>0</v>
      </c>
      <c r="H35" s="27" t="s">
        <v>32</v>
      </c>
      <c r="I35" s="3" t="s">
        <v>61</v>
      </c>
      <c r="J35" s="9">
        <f>((L35+G35)/1.05)-G35</f>
        <v>45770</v>
      </c>
      <c r="K35" s="9">
        <f t="shared" ref="K35:K41" si="15">((L35+G35)/1.05)</f>
        <v>45770</v>
      </c>
      <c r="L35" s="15">
        <v>48058.5</v>
      </c>
      <c r="M35" s="33">
        <v>45715</v>
      </c>
      <c r="N35" s="17">
        <v>45689</v>
      </c>
      <c r="O35" s="18">
        <f t="shared" ref="O35:O41" ca="1" si="16">TODAY()</f>
        <v>46106</v>
      </c>
      <c r="P35" s="18"/>
      <c r="Q35" s="3">
        <f t="shared" ref="Q35:Q41" ca="1" si="17">(YEAR(O35) - YEAR(M35)) * 12 + MONTH(O35) - MONTH(M35) + 1</f>
        <v>14</v>
      </c>
      <c r="R35" s="3" t="str">
        <f>VLOOKUP(I35, [1]Fleet!$C:$V, 20, FALSE)</f>
        <v>No</v>
      </c>
      <c r="S35" s="3">
        <f>VLOOKUP(I35, [1]Fleet!$C:$Q, 14, FALSE)</f>
        <v>17875</v>
      </c>
      <c r="T35" s="3"/>
      <c r="U35" s="9"/>
      <c r="V35" s="8">
        <f t="shared" ref="V35:V41" ca="1" si="18">L35-(C35*Q35)</f>
        <v>33032.708333333336</v>
      </c>
      <c r="W35" s="3"/>
      <c r="X35" s="11"/>
      <c r="Z35" s="12">
        <f t="shared" ref="Z35:Z41" ca="1" si="19">Q35*C35</f>
        <v>15025.791666666666</v>
      </c>
      <c r="AA35" s="12">
        <f>(J35-$F$35)/24</f>
        <v>977.91666666666663</v>
      </c>
      <c r="AB35" s="12">
        <f t="shared" ca="1" si="0"/>
        <v>13690.833333333332</v>
      </c>
      <c r="AC35" s="12">
        <f t="shared" ca="1" si="2"/>
        <v>1334.9583333333339</v>
      </c>
    </row>
    <row r="36" spans="2:29" x14ac:dyDescent="0.3">
      <c r="B36" s="3" t="s">
        <v>59</v>
      </c>
      <c r="C36" s="12">
        <f t="shared" ref="C36:C41" si="20">(L36-$F$35)/24</f>
        <v>1073.2708333333333</v>
      </c>
      <c r="D36" s="3" t="s">
        <v>30</v>
      </c>
      <c r="E36" s="3" t="s">
        <v>60</v>
      </c>
      <c r="F36" s="3"/>
      <c r="G36" s="9">
        <v>0</v>
      </c>
      <c r="H36" s="27" t="s">
        <v>32</v>
      </c>
      <c r="I36" s="3" t="s">
        <v>62</v>
      </c>
      <c r="J36" s="9">
        <f>((L36+G36)/1.05)-G36</f>
        <v>45770</v>
      </c>
      <c r="K36" s="9">
        <f t="shared" si="15"/>
        <v>45770</v>
      </c>
      <c r="L36" s="15">
        <v>48058.5</v>
      </c>
      <c r="M36" s="33">
        <v>45715</v>
      </c>
      <c r="N36" s="17">
        <v>45689</v>
      </c>
      <c r="O36" s="18">
        <f t="shared" ca="1" si="16"/>
        <v>46106</v>
      </c>
      <c r="P36" s="18"/>
      <c r="Q36" s="3">
        <f t="shared" ca="1" si="17"/>
        <v>14</v>
      </c>
      <c r="R36" s="3" t="str">
        <f>VLOOKUP(I36, [1]Fleet!$C:$V, 20, FALSE)</f>
        <v>No</v>
      </c>
      <c r="S36" s="3">
        <f>VLOOKUP(I36, [1]Fleet!$C:$Q, 14, FALSE)</f>
        <v>39793</v>
      </c>
      <c r="T36" s="3"/>
      <c r="U36" s="9"/>
      <c r="V36" s="8">
        <f t="shared" ca="1" si="18"/>
        <v>33032.708333333336</v>
      </c>
      <c r="W36" s="3"/>
      <c r="X36" s="11"/>
      <c r="Z36" s="12">
        <f t="shared" ca="1" si="19"/>
        <v>15025.791666666666</v>
      </c>
      <c r="AA36" s="12">
        <f t="shared" ref="AA36:AA41" si="21">(J36-$F$35)/24</f>
        <v>977.91666666666663</v>
      </c>
      <c r="AB36" s="12">
        <f t="shared" ca="1" si="0"/>
        <v>13690.833333333332</v>
      </c>
      <c r="AC36" s="12">
        <f t="shared" ca="1" si="2"/>
        <v>1334.9583333333339</v>
      </c>
    </row>
    <row r="37" spans="2:29" x14ac:dyDescent="0.3">
      <c r="B37" s="3" t="s">
        <v>59</v>
      </c>
      <c r="C37" s="12">
        <f t="shared" si="20"/>
        <v>1073.2708333333333</v>
      </c>
      <c r="D37" s="3" t="s">
        <v>30</v>
      </c>
      <c r="E37" s="3" t="s">
        <v>60</v>
      </c>
      <c r="F37" s="34"/>
      <c r="G37" s="9">
        <v>0</v>
      </c>
      <c r="H37" s="27" t="s">
        <v>32</v>
      </c>
      <c r="I37" s="3" t="s">
        <v>63</v>
      </c>
      <c r="J37" s="9">
        <f>((L37+G37)/1.05)-G37</f>
        <v>45770</v>
      </c>
      <c r="K37" s="9">
        <f t="shared" si="15"/>
        <v>45770</v>
      </c>
      <c r="L37" s="15">
        <v>48058.5</v>
      </c>
      <c r="M37" s="33">
        <v>45715</v>
      </c>
      <c r="N37" s="17">
        <v>45689</v>
      </c>
      <c r="O37" s="18">
        <f t="shared" ca="1" si="16"/>
        <v>46106</v>
      </c>
      <c r="P37" s="18"/>
      <c r="Q37" s="3">
        <f t="shared" ca="1" si="17"/>
        <v>14</v>
      </c>
      <c r="R37" s="3" t="str">
        <f>VLOOKUP(I37, [1]Fleet!$C:$V, 20, FALSE)</f>
        <v>No</v>
      </c>
      <c r="S37" s="3">
        <f>VLOOKUP(I37, [1]Fleet!$C:$Q, 14, FALSE)</f>
        <v>43151</v>
      </c>
      <c r="T37" s="3"/>
      <c r="U37" s="9"/>
      <c r="V37" s="8">
        <f t="shared" ca="1" si="18"/>
        <v>33032.708333333336</v>
      </c>
      <c r="W37" s="3"/>
      <c r="X37" s="11"/>
      <c r="Z37" s="12">
        <f t="shared" ca="1" si="19"/>
        <v>15025.791666666666</v>
      </c>
      <c r="AA37" s="12">
        <f t="shared" si="21"/>
        <v>977.91666666666663</v>
      </c>
      <c r="AB37" s="12">
        <f t="shared" ca="1" si="0"/>
        <v>13690.833333333332</v>
      </c>
      <c r="AC37" s="12">
        <f t="shared" ca="1" si="2"/>
        <v>1334.9583333333339</v>
      </c>
    </row>
    <row r="38" spans="2:29" x14ac:dyDescent="0.3">
      <c r="B38" s="3" t="s">
        <v>59</v>
      </c>
      <c r="C38" s="12">
        <f t="shared" si="20"/>
        <v>1073.2708333333333</v>
      </c>
      <c r="D38" s="3" t="s">
        <v>30</v>
      </c>
      <c r="E38" s="3" t="s">
        <v>60</v>
      </c>
      <c r="F38" s="3"/>
      <c r="G38" s="9">
        <v>0</v>
      </c>
      <c r="H38" s="27" t="s">
        <v>32</v>
      </c>
      <c r="I38" s="3" t="s">
        <v>64</v>
      </c>
      <c r="J38" s="9">
        <f>((L38+G38)/1.05)-G38</f>
        <v>45770</v>
      </c>
      <c r="K38" s="9">
        <f t="shared" si="15"/>
        <v>45770</v>
      </c>
      <c r="L38" s="15">
        <v>48058.5</v>
      </c>
      <c r="M38" s="33">
        <v>45709</v>
      </c>
      <c r="N38" s="17">
        <v>45689</v>
      </c>
      <c r="O38" s="18">
        <f t="shared" ca="1" si="16"/>
        <v>46106</v>
      </c>
      <c r="P38" s="18"/>
      <c r="Q38" s="3">
        <f t="shared" ca="1" si="17"/>
        <v>14</v>
      </c>
      <c r="R38" s="3" t="str">
        <f>VLOOKUP(I38, [1]Fleet!$C:$V, 20, FALSE)</f>
        <v>No</v>
      </c>
      <c r="S38" s="3">
        <f>VLOOKUP(I38, [1]Fleet!$C:$Q, 14, FALSE)</f>
        <v>5389</v>
      </c>
      <c r="T38" s="3"/>
      <c r="U38" s="9"/>
      <c r="V38" s="8">
        <f t="shared" ca="1" si="18"/>
        <v>33032.708333333336</v>
      </c>
      <c r="W38" s="3"/>
      <c r="X38" s="11"/>
      <c r="Z38" s="12">
        <f t="shared" ca="1" si="19"/>
        <v>15025.791666666666</v>
      </c>
      <c r="AA38" s="12">
        <f t="shared" si="21"/>
        <v>977.91666666666663</v>
      </c>
      <c r="AB38" s="12">
        <f t="shared" ca="1" si="0"/>
        <v>13690.833333333332</v>
      </c>
      <c r="AC38" s="12">
        <f t="shared" ca="1" si="2"/>
        <v>1334.9583333333339</v>
      </c>
    </row>
    <row r="39" spans="2:29" x14ac:dyDescent="0.3">
      <c r="B39" s="3" t="s">
        <v>59</v>
      </c>
      <c r="C39" s="12">
        <f t="shared" si="20"/>
        <v>1073.2708333333333</v>
      </c>
      <c r="D39" s="3" t="s">
        <v>30</v>
      </c>
      <c r="E39" s="3" t="s">
        <v>60</v>
      </c>
      <c r="F39" s="9"/>
      <c r="G39" s="9">
        <v>0</v>
      </c>
      <c r="H39" s="27" t="s">
        <v>32</v>
      </c>
      <c r="I39" s="3" t="s">
        <v>65</v>
      </c>
      <c r="J39" s="9">
        <f>((L39+G39)/1.05)-G39</f>
        <v>45770</v>
      </c>
      <c r="K39" s="9">
        <f t="shared" si="15"/>
        <v>45770</v>
      </c>
      <c r="L39" s="15">
        <v>48058.5</v>
      </c>
      <c r="M39" s="33">
        <v>45712</v>
      </c>
      <c r="N39" s="17">
        <v>45689</v>
      </c>
      <c r="O39" s="18">
        <f t="shared" ca="1" si="16"/>
        <v>46106</v>
      </c>
      <c r="P39" s="18"/>
      <c r="Q39" s="3">
        <f t="shared" ca="1" si="17"/>
        <v>14</v>
      </c>
      <c r="R39" s="3" t="str">
        <f>VLOOKUP(I39, [1]Fleet!$C:$V, 20, FALSE)</f>
        <v>No</v>
      </c>
      <c r="S39" s="3">
        <f>VLOOKUP(I39, [1]Fleet!$C:$Q, 14, FALSE)</f>
        <v>20080</v>
      </c>
      <c r="T39" s="3"/>
      <c r="U39" s="9"/>
      <c r="V39" s="8">
        <f t="shared" ca="1" si="18"/>
        <v>33032.708333333336</v>
      </c>
      <c r="W39" s="3"/>
      <c r="X39" s="11"/>
      <c r="Z39" s="12">
        <f t="shared" ca="1" si="19"/>
        <v>15025.791666666666</v>
      </c>
      <c r="AA39" s="12">
        <f t="shared" si="21"/>
        <v>977.91666666666663</v>
      </c>
      <c r="AB39" s="12">
        <f t="shared" ca="1" si="0"/>
        <v>13690.833333333332</v>
      </c>
      <c r="AC39" s="12">
        <f t="shared" ca="1" si="2"/>
        <v>1334.9583333333339</v>
      </c>
    </row>
    <row r="40" spans="2:29" x14ac:dyDescent="0.3">
      <c r="B40" s="3" t="s">
        <v>59</v>
      </c>
      <c r="C40" s="12">
        <f t="shared" si="20"/>
        <v>1073.2708333333333</v>
      </c>
      <c r="D40" s="3" t="s">
        <v>30</v>
      </c>
      <c r="E40" s="3" t="s">
        <v>60</v>
      </c>
      <c r="F40" s="3"/>
      <c r="G40" s="9">
        <v>0</v>
      </c>
      <c r="H40" s="27" t="s">
        <v>32</v>
      </c>
      <c r="I40" s="3" t="s">
        <v>66</v>
      </c>
      <c r="J40" s="9">
        <f>((L40+G42)/1.05)-G42</f>
        <v>45770</v>
      </c>
      <c r="K40" s="9">
        <f t="shared" si="15"/>
        <v>45770</v>
      </c>
      <c r="L40" s="15">
        <v>48058.5</v>
      </c>
      <c r="M40" s="33">
        <v>45713</v>
      </c>
      <c r="N40" s="17">
        <v>45689</v>
      </c>
      <c r="O40" s="18">
        <f t="shared" ca="1" si="16"/>
        <v>46106</v>
      </c>
      <c r="P40" s="18"/>
      <c r="Q40" s="3">
        <f t="shared" ca="1" si="17"/>
        <v>14</v>
      </c>
      <c r="R40" s="3" t="str">
        <f>VLOOKUP(I40, [1]Fleet!$C:$V, 20, FALSE)</f>
        <v>No</v>
      </c>
      <c r="S40" s="3">
        <f>VLOOKUP(I40, [1]Fleet!$C:$Q, 14, FALSE)</f>
        <v>20118</v>
      </c>
      <c r="T40" s="3"/>
      <c r="U40" s="9"/>
      <c r="V40" s="8">
        <f t="shared" ca="1" si="18"/>
        <v>33032.708333333336</v>
      </c>
      <c r="W40" s="3"/>
      <c r="X40" s="11"/>
      <c r="Z40" s="12">
        <f t="shared" ca="1" si="19"/>
        <v>15025.791666666666</v>
      </c>
      <c r="AA40" s="12">
        <f t="shared" si="21"/>
        <v>977.91666666666663</v>
      </c>
      <c r="AB40" s="12">
        <f t="shared" ca="1" si="0"/>
        <v>13690.833333333332</v>
      </c>
      <c r="AC40" s="12">
        <f t="shared" ca="1" si="2"/>
        <v>1334.9583333333339</v>
      </c>
    </row>
    <row r="41" spans="2:29" x14ac:dyDescent="0.3">
      <c r="B41" s="3" t="s">
        <v>59</v>
      </c>
      <c r="C41" s="12">
        <f t="shared" si="20"/>
        <v>1073.2708333333333</v>
      </c>
      <c r="D41" s="3" t="s">
        <v>30</v>
      </c>
      <c r="E41" s="3" t="s">
        <v>60</v>
      </c>
      <c r="F41" s="3"/>
      <c r="G41" s="9">
        <v>0</v>
      </c>
      <c r="H41" s="27" t="s">
        <v>32</v>
      </c>
      <c r="I41" s="3" t="s">
        <v>67</v>
      </c>
      <c r="J41" s="9">
        <f>((L41+G59)/1.05)-G59</f>
        <v>45770</v>
      </c>
      <c r="K41" s="9">
        <f t="shared" si="15"/>
        <v>45770</v>
      </c>
      <c r="L41" s="15">
        <v>48058.5</v>
      </c>
      <c r="M41" s="33">
        <v>45731</v>
      </c>
      <c r="N41" s="17">
        <v>45717</v>
      </c>
      <c r="O41" s="18">
        <f t="shared" ca="1" si="16"/>
        <v>46106</v>
      </c>
      <c r="P41" s="18"/>
      <c r="Q41" s="3">
        <f t="shared" ca="1" si="17"/>
        <v>13</v>
      </c>
      <c r="R41" s="3" t="str">
        <f>VLOOKUP(I41, [1]Fleet!$C:$V, 20, FALSE)</f>
        <v>No</v>
      </c>
      <c r="S41" s="3">
        <f>VLOOKUP(I41, [1]Fleet!$C:$Q, 14, FALSE)</f>
        <v>26812</v>
      </c>
      <c r="T41" s="3"/>
      <c r="U41" s="9"/>
      <c r="V41" s="8">
        <f t="shared" ca="1" si="18"/>
        <v>34105.979166666672</v>
      </c>
      <c r="W41" s="3"/>
      <c r="X41" s="11"/>
      <c r="Z41" s="12">
        <f t="shared" ca="1" si="19"/>
        <v>13952.520833333332</v>
      </c>
      <c r="AA41" s="12">
        <f t="shared" si="21"/>
        <v>977.91666666666663</v>
      </c>
      <c r="AB41" s="12">
        <f t="shared" ca="1" si="0"/>
        <v>12712.916666666666</v>
      </c>
      <c r="AC41" s="12">
        <f t="shared" ca="1" si="2"/>
        <v>1239.6041666666661</v>
      </c>
    </row>
    <row r="42" spans="2:29" x14ac:dyDescent="0.3">
      <c r="B42" s="3"/>
      <c r="C42" s="3"/>
      <c r="D42" s="3"/>
      <c r="E42" s="3"/>
      <c r="F42" s="3"/>
      <c r="G42" s="9"/>
      <c r="H42" s="3"/>
      <c r="I42" s="3"/>
      <c r="J42" s="9"/>
      <c r="K42" s="9"/>
      <c r="L42" s="9"/>
      <c r="M42" s="3"/>
      <c r="N42" s="3"/>
      <c r="O42" s="3"/>
      <c r="P42" s="3"/>
      <c r="Q42" s="3"/>
      <c r="R42" s="3"/>
      <c r="S42" s="3"/>
      <c r="T42" s="3"/>
      <c r="U42" s="9"/>
      <c r="V42" s="3"/>
      <c r="W42" s="3"/>
      <c r="X42" s="11"/>
      <c r="AB42" s="12"/>
      <c r="AC42" s="12"/>
    </row>
    <row r="43" spans="2:29" x14ac:dyDescent="0.3">
      <c r="B43" s="3"/>
      <c r="C43" s="8"/>
      <c r="D43" s="3" t="s">
        <v>58</v>
      </c>
      <c r="E43" s="3" t="s">
        <v>4</v>
      </c>
      <c r="F43" s="9">
        <v>23000</v>
      </c>
      <c r="G43" s="9"/>
      <c r="H43" s="35"/>
      <c r="I43" s="3"/>
      <c r="J43" s="9"/>
      <c r="K43" s="9"/>
      <c r="L43" s="9"/>
      <c r="M43" s="33"/>
      <c r="N43" s="33"/>
      <c r="O43" s="3"/>
      <c r="P43" s="3"/>
      <c r="Q43" s="3"/>
      <c r="R43" s="3"/>
      <c r="S43" s="3"/>
      <c r="T43" s="3"/>
      <c r="U43" s="9"/>
      <c r="V43" s="3"/>
      <c r="W43" s="3"/>
      <c r="X43" s="11"/>
      <c r="AB43" s="12"/>
      <c r="AC43" s="12"/>
    </row>
    <row r="44" spans="2:29" x14ac:dyDescent="0.3">
      <c r="B44" s="3" t="s">
        <v>59</v>
      </c>
      <c r="C44" s="12">
        <f>(L44-$F$44)/24</f>
        <v>1064.7979166666667</v>
      </c>
      <c r="D44" s="3" t="s">
        <v>30</v>
      </c>
      <c r="E44" s="3" t="s">
        <v>68</v>
      </c>
      <c r="F44" s="8">
        <f>F43</f>
        <v>23000</v>
      </c>
      <c r="G44" s="9">
        <v>0</v>
      </c>
      <c r="H44" s="27" t="s">
        <v>32</v>
      </c>
      <c r="I44" s="3" t="s">
        <v>69</v>
      </c>
      <c r="J44" s="9">
        <f t="shared" ref="J44:J50" si="22">((L44+G44)/1.05)-G44</f>
        <v>46243</v>
      </c>
      <c r="K44" s="9">
        <f t="shared" ref="K44:K51" si="23">((L44+G44)/1.05)</f>
        <v>46243</v>
      </c>
      <c r="L44" s="15">
        <v>48555.15</v>
      </c>
      <c r="M44" s="33">
        <v>45708</v>
      </c>
      <c r="N44" s="17">
        <v>45689</v>
      </c>
      <c r="O44" s="18">
        <f t="shared" ref="O44:O51" ca="1" si="24">TODAY()</f>
        <v>46106</v>
      </c>
      <c r="P44" s="18"/>
      <c r="Q44" s="3">
        <f t="shared" ref="Q44:Q51" ca="1" si="25">(YEAR(O44) - YEAR(M44)) * 12 + MONTH(O44) - MONTH(M44) + 1</f>
        <v>14</v>
      </c>
      <c r="R44" s="3" t="str">
        <f>VLOOKUP(I44, [1]Fleet!$C:$V, 20, FALSE)</f>
        <v>No</v>
      </c>
      <c r="S44" s="3">
        <f>VLOOKUP(I44, [1]Fleet!$C:$Q, 14, FALSE)</f>
        <v>18765</v>
      </c>
      <c r="T44" s="3"/>
      <c r="U44" s="9"/>
      <c r="V44" s="8">
        <f t="shared" ref="V44:V51" ca="1" si="26">L44-(C44*Q44)</f>
        <v>33647.979166666672</v>
      </c>
      <c r="W44" s="3"/>
      <c r="X44" s="11"/>
      <c r="Z44" s="12">
        <f t="shared" ref="Z44:Z51" ca="1" si="27">Q44*C44</f>
        <v>14907.170833333334</v>
      </c>
      <c r="AA44" s="12">
        <f>(J44-$F$44)/24</f>
        <v>968.45833333333337</v>
      </c>
      <c r="AB44" s="12">
        <f t="shared" ca="1" si="0"/>
        <v>13558.416666666668</v>
      </c>
      <c r="AC44" s="12">
        <f t="shared" ca="1" si="2"/>
        <v>1348.7541666666657</v>
      </c>
    </row>
    <row r="45" spans="2:29" x14ac:dyDescent="0.3">
      <c r="B45" s="3" t="s">
        <v>59</v>
      </c>
      <c r="C45" s="12">
        <f t="shared" ref="C45:C51" si="28">(L45-$F$44)/24</f>
        <v>1064.7979166666667</v>
      </c>
      <c r="D45" s="3" t="s">
        <v>30</v>
      </c>
      <c r="E45" s="3" t="s">
        <v>68</v>
      </c>
      <c r="F45" s="3"/>
      <c r="G45" s="9">
        <v>0</v>
      </c>
      <c r="H45" s="27" t="s">
        <v>32</v>
      </c>
      <c r="I45" s="3" t="s">
        <v>70</v>
      </c>
      <c r="J45" s="9">
        <f t="shared" si="22"/>
        <v>46243</v>
      </c>
      <c r="K45" s="9">
        <f t="shared" si="23"/>
        <v>46243</v>
      </c>
      <c r="L45" s="15">
        <v>48555.15</v>
      </c>
      <c r="M45" s="33">
        <v>45720</v>
      </c>
      <c r="N45" s="17">
        <v>45717</v>
      </c>
      <c r="O45" s="18">
        <f t="shared" ca="1" si="24"/>
        <v>46106</v>
      </c>
      <c r="P45" s="18"/>
      <c r="Q45" s="3">
        <f t="shared" ca="1" si="25"/>
        <v>13</v>
      </c>
      <c r="R45" s="3" t="str">
        <f>VLOOKUP(I45, [1]Fleet!$C:$V, 20, FALSE)</f>
        <v>No</v>
      </c>
      <c r="S45" s="3">
        <f>VLOOKUP(I45, [1]Fleet!$C:$Q, 14, FALSE)</f>
        <v>27085</v>
      </c>
      <c r="T45" s="3"/>
      <c r="U45" s="9"/>
      <c r="V45" s="8">
        <f t="shared" ca="1" si="26"/>
        <v>34712.777083333334</v>
      </c>
      <c r="W45" s="3"/>
      <c r="X45" s="11"/>
      <c r="Z45" s="12">
        <f t="shared" ca="1" si="27"/>
        <v>13842.372916666667</v>
      </c>
      <c r="AA45" s="12">
        <f t="shared" ref="AA45:AA51" si="29">(J45-$F$44)/24</f>
        <v>968.45833333333337</v>
      </c>
      <c r="AB45" s="12">
        <f t="shared" ca="1" si="0"/>
        <v>12589.958333333334</v>
      </c>
      <c r="AC45" s="12">
        <f t="shared" ca="1" si="2"/>
        <v>1252.4145833333332</v>
      </c>
    </row>
    <row r="46" spans="2:29" x14ac:dyDescent="0.3">
      <c r="B46" s="3" t="s">
        <v>59</v>
      </c>
      <c r="C46" s="12">
        <f t="shared" si="28"/>
        <v>1064.7979166666667</v>
      </c>
      <c r="D46" s="3" t="s">
        <v>30</v>
      </c>
      <c r="E46" s="3" t="s">
        <v>68</v>
      </c>
      <c r="F46" s="9"/>
      <c r="G46" s="9">
        <v>0</v>
      </c>
      <c r="H46" s="27" t="s">
        <v>32</v>
      </c>
      <c r="I46" s="3" t="s">
        <v>71</v>
      </c>
      <c r="J46" s="9">
        <f t="shared" si="22"/>
        <v>46243</v>
      </c>
      <c r="K46" s="9">
        <f t="shared" si="23"/>
        <v>46243</v>
      </c>
      <c r="L46" s="15">
        <v>48555.15</v>
      </c>
      <c r="M46" s="33">
        <v>45708</v>
      </c>
      <c r="N46" s="17">
        <v>45689</v>
      </c>
      <c r="O46" s="18">
        <f t="shared" ca="1" si="24"/>
        <v>46106</v>
      </c>
      <c r="P46" s="18"/>
      <c r="Q46" s="3">
        <f t="shared" ca="1" si="25"/>
        <v>14</v>
      </c>
      <c r="R46" s="3" t="str">
        <f>VLOOKUP(I46, [1]Fleet!$C:$V, 20, FALSE)</f>
        <v>No</v>
      </c>
      <c r="S46" s="3">
        <f>VLOOKUP(I46, [1]Fleet!$C:$Q, 14, FALSE)</f>
        <v>36169</v>
      </c>
      <c r="T46" s="3"/>
      <c r="U46" s="9"/>
      <c r="V46" s="8">
        <f t="shared" ca="1" si="26"/>
        <v>33647.979166666672</v>
      </c>
      <c r="W46" s="3"/>
      <c r="X46" s="11"/>
      <c r="Z46" s="12">
        <f t="shared" ca="1" si="27"/>
        <v>14907.170833333334</v>
      </c>
      <c r="AA46" s="12">
        <f t="shared" si="29"/>
        <v>968.45833333333337</v>
      </c>
      <c r="AB46" s="12">
        <f t="shared" ca="1" si="0"/>
        <v>13558.416666666668</v>
      </c>
      <c r="AC46" s="12">
        <f t="shared" ca="1" si="2"/>
        <v>1348.7541666666657</v>
      </c>
    </row>
    <row r="47" spans="2:29" x14ac:dyDescent="0.3">
      <c r="B47" s="3" t="s">
        <v>59</v>
      </c>
      <c r="C47" s="12">
        <f t="shared" si="28"/>
        <v>1064.7979166666667</v>
      </c>
      <c r="D47" s="3" t="s">
        <v>30</v>
      </c>
      <c r="E47" s="3" t="s">
        <v>68</v>
      </c>
      <c r="F47" s="3"/>
      <c r="G47" s="9">
        <v>0</v>
      </c>
      <c r="H47" s="27" t="s">
        <v>32</v>
      </c>
      <c r="I47" s="3" t="s">
        <v>72</v>
      </c>
      <c r="J47" s="9">
        <f t="shared" si="22"/>
        <v>46243</v>
      </c>
      <c r="K47" s="9">
        <f t="shared" si="23"/>
        <v>46243</v>
      </c>
      <c r="L47" s="15">
        <v>48555.15</v>
      </c>
      <c r="M47" s="33">
        <v>45715</v>
      </c>
      <c r="N47" s="17">
        <v>45689</v>
      </c>
      <c r="O47" s="18">
        <f t="shared" ca="1" si="24"/>
        <v>46106</v>
      </c>
      <c r="P47" s="18"/>
      <c r="Q47" s="3">
        <f t="shared" ca="1" si="25"/>
        <v>14</v>
      </c>
      <c r="R47" s="3" t="str">
        <f>VLOOKUP(I47, [1]Fleet!$C:$V, 20, FALSE)</f>
        <v>No</v>
      </c>
      <c r="S47" s="3">
        <f>VLOOKUP(I47, [1]Fleet!$C:$Q, 14, FALSE)</f>
        <v>37844</v>
      </c>
      <c r="T47" s="3"/>
      <c r="U47" s="9"/>
      <c r="V47" s="8">
        <f t="shared" ca="1" si="26"/>
        <v>33647.979166666672</v>
      </c>
      <c r="W47" s="3"/>
      <c r="X47" s="11"/>
      <c r="Z47" s="12">
        <f t="shared" ca="1" si="27"/>
        <v>14907.170833333334</v>
      </c>
      <c r="AA47" s="12">
        <f t="shared" si="29"/>
        <v>968.45833333333337</v>
      </c>
      <c r="AB47" s="12">
        <f t="shared" ca="1" si="0"/>
        <v>13558.416666666668</v>
      </c>
      <c r="AC47" s="12">
        <f t="shared" ca="1" si="2"/>
        <v>1348.7541666666657</v>
      </c>
    </row>
    <row r="48" spans="2:29" x14ac:dyDescent="0.3">
      <c r="B48" s="3" t="s">
        <v>59</v>
      </c>
      <c r="C48" s="12">
        <f t="shared" si="28"/>
        <v>1064.7979166666667</v>
      </c>
      <c r="D48" s="3" t="s">
        <v>30</v>
      </c>
      <c r="E48" s="3" t="s">
        <v>68</v>
      </c>
      <c r="F48" s="9"/>
      <c r="G48" s="9">
        <v>0</v>
      </c>
      <c r="H48" s="27" t="s">
        <v>32</v>
      </c>
      <c r="I48" s="36" t="s">
        <v>73</v>
      </c>
      <c r="J48" s="9">
        <f t="shared" si="22"/>
        <v>46243</v>
      </c>
      <c r="K48" s="9">
        <f t="shared" si="23"/>
        <v>46243</v>
      </c>
      <c r="L48" s="15">
        <v>48555.15</v>
      </c>
      <c r="M48" s="33">
        <v>45715</v>
      </c>
      <c r="N48" s="17">
        <v>45689</v>
      </c>
      <c r="O48" s="18">
        <f t="shared" ca="1" si="24"/>
        <v>46106</v>
      </c>
      <c r="P48" s="18"/>
      <c r="Q48" s="3">
        <f t="shared" ca="1" si="25"/>
        <v>14</v>
      </c>
      <c r="R48" s="3" t="str">
        <f>VLOOKUP(I48, [1]Fleet!$C:$V, 20, FALSE)</f>
        <v>No</v>
      </c>
      <c r="S48" s="3">
        <f>VLOOKUP(I48, [1]Fleet!$C:$Q, 14, FALSE)</f>
        <v>24994</v>
      </c>
      <c r="T48" s="3"/>
      <c r="U48" s="9"/>
      <c r="V48" s="8">
        <f t="shared" ca="1" si="26"/>
        <v>33647.979166666672</v>
      </c>
      <c r="W48" s="3"/>
      <c r="X48" s="11"/>
      <c r="Z48" s="12">
        <f t="shared" ca="1" si="27"/>
        <v>14907.170833333334</v>
      </c>
      <c r="AA48" s="12">
        <f t="shared" si="29"/>
        <v>968.45833333333337</v>
      </c>
      <c r="AB48" s="12">
        <f t="shared" ca="1" si="0"/>
        <v>13558.416666666668</v>
      </c>
      <c r="AC48" s="12">
        <f t="shared" ca="1" si="2"/>
        <v>1348.7541666666657</v>
      </c>
    </row>
    <row r="49" spans="2:29" x14ac:dyDescent="0.3">
      <c r="B49" s="3" t="s">
        <v>59</v>
      </c>
      <c r="C49" s="12">
        <f t="shared" si="28"/>
        <v>1064.7979166666667</v>
      </c>
      <c r="D49" s="3" t="s">
        <v>30</v>
      </c>
      <c r="E49" s="3" t="s">
        <v>68</v>
      </c>
      <c r="F49" s="3"/>
      <c r="G49" s="9">
        <v>0</v>
      </c>
      <c r="H49" s="27" t="s">
        <v>32</v>
      </c>
      <c r="I49" s="3" t="s">
        <v>74</v>
      </c>
      <c r="J49" s="9">
        <f t="shared" si="22"/>
        <v>46243</v>
      </c>
      <c r="K49" s="9">
        <f t="shared" si="23"/>
        <v>46243</v>
      </c>
      <c r="L49" s="15">
        <v>48555.15</v>
      </c>
      <c r="M49" s="33">
        <v>45709</v>
      </c>
      <c r="N49" s="17">
        <v>45689</v>
      </c>
      <c r="O49" s="18">
        <f t="shared" ca="1" si="24"/>
        <v>46106</v>
      </c>
      <c r="P49" s="18"/>
      <c r="Q49" s="3">
        <f t="shared" ca="1" si="25"/>
        <v>14</v>
      </c>
      <c r="R49" s="3" t="str">
        <f>VLOOKUP(I49, [1]Fleet!$C:$V, 20, FALSE)</f>
        <v>No</v>
      </c>
      <c r="S49" s="3">
        <f>VLOOKUP(I49, [1]Fleet!$C:$Q, 14, FALSE)</f>
        <v>10729</v>
      </c>
      <c r="T49" s="3"/>
      <c r="U49" s="9"/>
      <c r="V49" s="8">
        <f t="shared" ca="1" si="26"/>
        <v>33647.979166666672</v>
      </c>
      <c r="W49" s="3"/>
      <c r="X49" s="11"/>
      <c r="Z49" s="12">
        <f t="shared" ca="1" si="27"/>
        <v>14907.170833333334</v>
      </c>
      <c r="AA49" s="12">
        <f t="shared" si="29"/>
        <v>968.45833333333337</v>
      </c>
      <c r="AB49" s="12">
        <f t="shared" ca="1" si="0"/>
        <v>13558.416666666668</v>
      </c>
      <c r="AC49" s="12">
        <f t="shared" ca="1" si="2"/>
        <v>1348.7541666666657</v>
      </c>
    </row>
    <row r="50" spans="2:29" x14ac:dyDescent="0.3">
      <c r="B50" s="3" t="s">
        <v>59</v>
      </c>
      <c r="C50" s="12">
        <f t="shared" si="28"/>
        <v>1064.7979166666667</v>
      </c>
      <c r="D50" s="3" t="s">
        <v>30</v>
      </c>
      <c r="E50" s="3" t="s">
        <v>68</v>
      </c>
      <c r="F50" s="3"/>
      <c r="G50" s="9">
        <v>0</v>
      </c>
      <c r="H50" s="27" t="s">
        <v>32</v>
      </c>
      <c r="I50" s="3" t="s">
        <v>75</v>
      </c>
      <c r="J50" s="9">
        <f t="shared" si="22"/>
        <v>46243</v>
      </c>
      <c r="K50" s="9">
        <f t="shared" si="23"/>
        <v>46243</v>
      </c>
      <c r="L50" s="15">
        <v>48555.15</v>
      </c>
      <c r="M50" s="33">
        <v>45716</v>
      </c>
      <c r="N50" s="17">
        <v>45689</v>
      </c>
      <c r="O50" s="18">
        <f t="shared" ca="1" si="24"/>
        <v>46106</v>
      </c>
      <c r="P50" s="18"/>
      <c r="Q50" s="3">
        <f t="shared" ca="1" si="25"/>
        <v>14</v>
      </c>
      <c r="R50" s="3" t="str">
        <f>VLOOKUP(I50, [1]Fleet!$C:$V, 20, FALSE)</f>
        <v>No</v>
      </c>
      <c r="S50" s="3">
        <f>VLOOKUP(I50, [1]Fleet!$C:$Q, 14, FALSE)</f>
        <v>6580</v>
      </c>
      <c r="T50" s="3"/>
      <c r="U50" s="9"/>
      <c r="V50" s="8">
        <f t="shared" ca="1" si="26"/>
        <v>33647.979166666672</v>
      </c>
      <c r="W50" s="3"/>
      <c r="X50" s="11"/>
      <c r="Z50" s="12">
        <f t="shared" ca="1" si="27"/>
        <v>14907.170833333334</v>
      </c>
      <c r="AA50" s="12">
        <f t="shared" si="29"/>
        <v>968.45833333333337</v>
      </c>
      <c r="AB50" s="12">
        <f t="shared" ca="1" si="0"/>
        <v>13558.416666666668</v>
      </c>
      <c r="AC50" s="12">
        <f t="shared" ca="1" si="2"/>
        <v>1348.7541666666657</v>
      </c>
    </row>
    <row r="51" spans="2:29" x14ac:dyDescent="0.3">
      <c r="B51" s="3" t="s">
        <v>59</v>
      </c>
      <c r="C51" s="12">
        <f t="shared" si="28"/>
        <v>1064.7979166666667</v>
      </c>
      <c r="D51" s="3" t="s">
        <v>30</v>
      </c>
      <c r="E51" s="3" t="s">
        <v>68</v>
      </c>
      <c r="F51" s="3"/>
      <c r="G51" s="9">
        <v>0</v>
      </c>
      <c r="H51" s="27" t="s">
        <v>32</v>
      </c>
      <c r="I51" s="3" t="s">
        <v>76</v>
      </c>
      <c r="J51" s="9">
        <f>((L51+G58)/1.05)-G58</f>
        <v>46243</v>
      </c>
      <c r="K51" s="9">
        <f t="shared" si="23"/>
        <v>46243</v>
      </c>
      <c r="L51" s="15">
        <v>48555.15</v>
      </c>
      <c r="M51" s="33">
        <v>45731</v>
      </c>
      <c r="N51" s="17">
        <v>45717</v>
      </c>
      <c r="O51" s="18">
        <f t="shared" ca="1" si="24"/>
        <v>46106</v>
      </c>
      <c r="P51" s="18"/>
      <c r="Q51" s="3">
        <f t="shared" ca="1" si="25"/>
        <v>13</v>
      </c>
      <c r="R51" s="3" t="str">
        <f>VLOOKUP(I51, [1]Fleet!$C:$V, 20, FALSE)</f>
        <v>No</v>
      </c>
      <c r="S51" s="3">
        <f>VLOOKUP(I51, [1]Fleet!$C:$Q, 14, FALSE)</f>
        <v>35324</v>
      </c>
      <c r="T51" s="3"/>
      <c r="U51" s="9"/>
      <c r="V51" s="8">
        <f t="shared" ca="1" si="26"/>
        <v>34712.777083333334</v>
      </c>
      <c r="W51" s="3"/>
      <c r="X51" s="11"/>
      <c r="Z51" s="12">
        <f t="shared" ca="1" si="27"/>
        <v>13842.372916666667</v>
      </c>
      <c r="AA51" s="12">
        <f t="shared" si="29"/>
        <v>968.45833333333337</v>
      </c>
      <c r="AB51" s="12">
        <f t="shared" ca="1" si="0"/>
        <v>12589.958333333334</v>
      </c>
      <c r="AC51" s="12">
        <f t="shared" ca="1" si="2"/>
        <v>1252.4145833333332</v>
      </c>
    </row>
    <row r="52" spans="2:29" x14ac:dyDescent="0.3">
      <c r="B52" s="3"/>
      <c r="C52" s="8"/>
      <c r="D52" s="3" t="s">
        <v>58</v>
      </c>
      <c r="E52" s="3" t="s">
        <v>4</v>
      </c>
      <c r="F52" s="9">
        <v>23000</v>
      </c>
      <c r="G52" s="9"/>
      <c r="H52" s="35"/>
      <c r="I52" s="3"/>
      <c r="J52" s="9"/>
      <c r="K52" s="9"/>
      <c r="L52" s="8"/>
      <c r="M52" s="33"/>
      <c r="N52" s="17"/>
      <c r="O52" s="16"/>
      <c r="P52" s="16"/>
      <c r="Q52" s="3"/>
      <c r="R52" s="3"/>
      <c r="S52" s="3"/>
      <c r="T52" s="3"/>
      <c r="U52" s="9"/>
      <c r="V52" s="8"/>
      <c r="W52" s="3"/>
      <c r="X52" s="11"/>
      <c r="AB52" s="12"/>
      <c r="AC52" s="12"/>
    </row>
    <row r="53" spans="2:29" x14ac:dyDescent="0.3">
      <c r="B53" s="3" t="s">
        <v>59</v>
      </c>
      <c r="C53" s="12">
        <f>(L53-F53)/24</f>
        <v>1073.9416666666666</v>
      </c>
      <c r="D53" s="3" t="s">
        <v>30</v>
      </c>
      <c r="E53" s="3" t="s">
        <v>68</v>
      </c>
      <c r="F53" s="8">
        <f>F52</f>
        <v>23000</v>
      </c>
      <c r="G53" s="9">
        <v>0</v>
      </c>
      <c r="H53" s="27" t="s">
        <v>32</v>
      </c>
      <c r="I53" s="3" t="s">
        <v>77</v>
      </c>
      <c r="J53" s="9">
        <f>((L53+G65)/1.05)-G65</f>
        <v>46452</v>
      </c>
      <c r="K53" s="9">
        <f>((L53+G53)/1.05)</f>
        <v>46452</v>
      </c>
      <c r="L53" s="15">
        <v>48774.6</v>
      </c>
      <c r="M53" s="33">
        <v>45733</v>
      </c>
      <c r="N53" s="17">
        <v>45717</v>
      </c>
      <c r="O53" s="18">
        <f ca="1">TODAY()</f>
        <v>46106</v>
      </c>
      <c r="P53" s="18"/>
      <c r="Q53" s="3">
        <f ca="1">(YEAR(O53) - YEAR(M53)) * 12 + MONTH(O53) - MONTH(M53) + 1</f>
        <v>13</v>
      </c>
      <c r="R53" s="3" t="str">
        <f>VLOOKUP(I53, [1]Fleet!$C:$V, 20, FALSE)</f>
        <v>No</v>
      </c>
      <c r="S53" s="3">
        <f>VLOOKUP(I53, [1]Fleet!$C:$Q, 14, FALSE)</f>
        <v>34507</v>
      </c>
      <c r="T53" s="3"/>
      <c r="U53" s="9"/>
      <c r="V53" s="8">
        <f ca="1">L53-(C53*Q53)</f>
        <v>34813.358333333337</v>
      </c>
      <c r="W53" s="3"/>
      <c r="X53" s="11"/>
      <c r="Z53" s="12">
        <f ca="1">Q53*C53</f>
        <v>13961.241666666665</v>
      </c>
      <c r="AA53" s="12">
        <f>(J53-F53)/24</f>
        <v>977.16666666666663</v>
      </c>
      <c r="AB53" s="12">
        <f t="shared" ca="1" si="0"/>
        <v>12703.166666666666</v>
      </c>
      <c r="AC53" s="12">
        <f t="shared" ca="1" si="2"/>
        <v>1258.0749999999989</v>
      </c>
    </row>
    <row r="55" spans="2:29" x14ac:dyDescent="0.3">
      <c r="L55" s="7" t="s">
        <v>78</v>
      </c>
      <c r="V55" s="46" t="s">
        <v>79</v>
      </c>
      <c r="W55" s="46"/>
      <c r="Y55" s="7" t="s">
        <v>80</v>
      </c>
    </row>
    <row r="56" spans="2:29" x14ac:dyDescent="0.3">
      <c r="I56" s="5"/>
      <c r="J56" s="37"/>
      <c r="K56" s="5" t="s">
        <v>81</v>
      </c>
      <c r="L56" s="37">
        <f>SUM(L5:L53)</f>
        <v>1749396.1099999994</v>
      </c>
      <c r="M56" s="5"/>
      <c r="N56" s="5"/>
      <c r="O56" s="5"/>
      <c r="P56" s="5"/>
      <c r="Q56" s="5"/>
      <c r="R56" s="5"/>
      <c r="S56" s="5"/>
      <c r="T56" s="5"/>
      <c r="U56" s="5"/>
      <c r="V56" s="5" t="s">
        <v>82</v>
      </c>
      <c r="W56" s="37">
        <f>SUM(W5:W20)+SUM(W35:W53)</f>
        <v>-31381.936249999999</v>
      </c>
      <c r="X56" s="37">
        <f>SUM(X5:X20)+SUM(X35:X53)</f>
        <v>1920</v>
      </c>
      <c r="Y56" s="5"/>
      <c r="Z56" s="37">
        <f ca="1">SUM(Z5:Z20)+SUM(Z35:Z53)</f>
        <v>379819.86208333337</v>
      </c>
    </row>
    <row r="57" spans="2:29" x14ac:dyDescent="0.3">
      <c r="K57" s="7" t="s">
        <v>83</v>
      </c>
      <c r="L57" s="7" cm="1">
        <f t="array" ref="L57">COUNTA(_xlfn._xlws.FILTER(_xlfn.UNIQUE(I5:I53), _xlfn.UNIQUE(I5:I53) &lt;&gt; ""))</f>
        <v>35</v>
      </c>
      <c r="V57" s="5" t="s">
        <v>47</v>
      </c>
      <c r="W57" s="12">
        <f>SUM(W23:W32)</f>
        <v>-5673.5700000000288</v>
      </c>
      <c r="X57" s="12">
        <f>SUM(X23:X32)</f>
        <v>0</v>
      </c>
      <c r="Z57" s="12">
        <f>SUM(Z23:Z32)</f>
        <v>64790.479999999996</v>
      </c>
    </row>
    <row r="59" spans="2:29" x14ac:dyDescent="0.3">
      <c r="I59" s="21" t="s">
        <v>84</v>
      </c>
      <c r="J59" s="9">
        <f>((L59+G59)/1.05)-G59</f>
        <v>42992.666666666664</v>
      </c>
      <c r="K59" s="9">
        <f>((L59+G59)/1.05)</f>
        <v>42992.666666666664</v>
      </c>
      <c r="L59" s="15">
        <v>45142.3</v>
      </c>
      <c r="M59" s="16">
        <v>45284</v>
      </c>
      <c r="N59" s="17">
        <v>45261</v>
      </c>
      <c r="O59" s="16">
        <v>45708</v>
      </c>
      <c r="P59" s="17">
        <v>45689</v>
      </c>
      <c r="Q59" s="3">
        <f t="shared" ref="Q59:Q62" si="30">(YEAR(O59) - YEAR(M59)) * 12 + MONTH(O59) - MONTH(M59) + 1</f>
        <v>15</v>
      </c>
      <c r="R59" s="3" t="str">
        <f>VLOOKUP(I59, [1]Fleet!$C:$V, 20, FALSE)</f>
        <v>Yes</v>
      </c>
      <c r="S59" s="3">
        <f>VLOOKUP(I59, [1]Fleet!$C:$Q, 14, FALSE)</f>
        <v>39566</v>
      </c>
      <c r="T59" s="24">
        <v>45748</v>
      </c>
      <c r="U59" s="38">
        <v>30990</v>
      </c>
      <c r="V59" s="39">
        <f>L59-(C59*Q59)</f>
        <v>45142.3</v>
      </c>
      <c r="W59" s="39">
        <f>U59-V59</f>
        <v>-14152.300000000003</v>
      </c>
      <c r="X59" s="40"/>
      <c r="Y59" s="41"/>
      <c r="Z59" s="42">
        <f>Q59*C59</f>
        <v>0</v>
      </c>
      <c r="AA59" s="42">
        <f>(J59-$F$4)/24</f>
        <v>541.36111111111097</v>
      </c>
      <c r="AB59" s="42">
        <f>+AA59*Q59</f>
        <v>8120.4166666666642</v>
      </c>
      <c r="AC59" s="42">
        <f>+Z59-AB59</f>
        <v>-8120.4166666666642</v>
      </c>
    </row>
    <row r="60" spans="2:29" x14ac:dyDescent="0.3">
      <c r="I60" s="21" t="s">
        <v>85</v>
      </c>
      <c r="J60" s="9">
        <f>((L60+G60)/1.05)-G60</f>
        <v>42992.666666666664</v>
      </c>
      <c r="K60" s="9">
        <f>((L60+G60)/1.05)</f>
        <v>42992.666666666664</v>
      </c>
      <c r="L60" s="15">
        <v>45142.3</v>
      </c>
      <c r="M60" s="16">
        <v>45284</v>
      </c>
      <c r="N60" s="17">
        <v>45261</v>
      </c>
      <c r="O60" s="16">
        <v>45708</v>
      </c>
      <c r="P60" s="17">
        <v>45689</v>
      </c>
      <c r="Q60" s="3">
        <f t="shared" si="30"/>
        <v>15</v>
      </c>
      <c r="R60" s="3" t="str">
        <f>VLOOKUP(I60, [1]Fleet!$C:$V, 20, FALSE)</f>
        <v>No</v>
      </c>
      <c r="S60" s="3">
        <f>VLOOKUP(I60, [1]Fleet!$C:$Q, 14, FALSE)</f>
        <v>38739</v>
      </c>
      <c r="T60" s="24">
        <v>45717</v>
      </c>
      <c r="U60" s="38">
        <v>29490</v>
      </c>
      <c r="V60" s="39">
        <f>L60-(C60*Q60)</f>
        <v>45142.3</v>
      </c>
      <c r="W60" s="39">
        <f>U60-V60</f>
        <v>-15652.300000000003</v>
      </c>
      <c r="X60" s="40"/>
      <c r="Y60" s="41"/>
      <c r="Z60" s="42">
        <f>Q60*C60</f>
        <v>0</v>
      </c>
      <c r="AA60" s="42">
        <f t="shared" ref="AA60:AA62" si="31">(J60-$F$4)/24</f>
        <v>541.36111111111097</v>
      </c>
      <c r="AB60" s="42">
        <f t="shared" ref="AB60:AB117" si="32">+AA60*Q60</f>
        <v>8120.4166666666642</v>
      </c>
      <c r="AC60" s="42">
        <f t="shared" ref="AC60:AC117" si="33">+Z60-AB60</f>
        <v>-8120.4166666666642</v>
      </c>
    </row>
    <row r="61" spans="2:29" x14ac:dyDescent="0.3">
      <c r="I61" s="21" t="s">
        <v>86</v>
      </c>
      <c r="J61" s="9">
        <f>((L61+G61)/1.05)-G61</f>
        <v>42992.666666666664</v>
      </c>
      <c r="K61" s="9">
        <f>((L61+G61)/1.05)</f>
        <v>42992.666666666664</v>
      </c>
      <c r="L61" s="15">
        <v>45142.3</v>
      </c>
      <c r="M61" s="16">
        <v>45284</v>
      </c>
      <c r="N61" s="17">
        <v>45261</v>
      </c>
      <c r="O61" s="16">
        <v>45708</v>
      </c>
      <c r="P61" s="17">
        <v>45689</v>
      </c>
      <c r="Q61" s="3">
        <f t="shared" si="30"/>
        <v>15</v>
      </c>
      <c r="R61" s="3" t="str">
        <f>VLOOKUP(I61, [1]Fleet!$C:$V, 20, FALSE)</f>
        <v>Yes</v>
      </c>
      <c r="S61" s="3">
        <f>VLOOKUP(I61, [1]Fleet!$C:$Q, 14, FALSE)</f>
        <v>34435</v>
      </c>
      <c r="T61" s="24">
        <v>45748</v>
      </c>
      <c r="U61" s="38">
        <v>30490</v>
      </c>
      <c r="V61" s="39">
        <f>L61-(C61*Q61)</f>
        <v>45142.3</v>
      </c>
      <c r="W61" s="39">
        <f>U61-V61</f>
        <v>-14652.300000000003</v>
      </c>
      <c r="X61" s="40"/>
      <c r="Y61" s="41"/>
      <c r="Z61" s="42">
        <f>Q61*C61</f>
        <v>0</v>
      </c>
      <c r="AA61" s="42">
        <f t="shared" si="31"/>
        <v>541.36111111111097</v>
      </c>
      <c r="AB61" s="42">
        <f t="shared" si="32"/>
        <v>8120.4166666666642</v>
      </c>
      <c r="AC61" s="42">
        <f t="shared" si="33"/>
        <v>-8120.4166666666642</v>
      </c>
    </row>
    <row r="62" spans="2:29" x14ac:dyDescent="0.3">
      <c r="I62" s="14" t="s">
        <v>87</v>
      </c>
      <c r="J62" s="9">
        <f>((L62+G62)/1.05)-G62</f>
        <v>42992.666666666664</v>
      </c>
      <c r="K62" s="9">
        <f>((L62+G62)/1.05)</f>
        <v>42992.666666666664</v>
      </c>
      <c r="L62" s="15">
        <v>45142.3</v>
      </c>
      <c r="M62" s="16">
        <v>45284</v>
      </c>
      <c r="N62" s="17">
        <v>45261</v>
      </c>
      <c r="O62" s="18">
        <f ca="1">TODAY()</f>
        <v>46106</v>
      </c>
      <c r="P62" s="18"/>
      <c r="Q62" s="3">
        <f t="shared" ca="1" si="30"/>
        <v>28</v>
      </c>
      <c r="R62" s="3" t="str">
        <f>VLOOKUP(I62, [1]Fleet!$C:$V, 20, FALSE)</f>
        <v>Yes</v>
      </c>
      <c r="S62" s="3">
        <f>VLOOKUP(I62, [1]Fleet!$C:$Q, 14, FALSE)</f>
        <v>75774</v>
      </c>
      <c r="T62" s="3"/>
      <c r="U62" s="9"/>
      <c r="V62" s="8">
        <f ca="1">L62-(C62*Q62)</f>
        <v>45142.3</v>
      </c>
      <c r="W62" s="3"/>
      <c r="X62" s="40"/>
      <c r="Y62" s="41"/>
      <c r="Z62" s="42">
        <f ca="1">Q62*C62</f>
        <v>0</v>
      </c>
      <c r="AA62" s="42">
        <f t="shared" si="31"/>
        <v>541.36111111111097</v>
      </c>
      <c r="AB62" s="42">
        <f t="shared" ca="1" si="32"/>
        <v>15158.111111111108</v>
      </c>
      <c r="AC62" s="42">
        <f t="shared" ca="1" si="33"/>
        <v>-15158.111111111108</v>
      </c>
    </row>
    <row r="63" spans="2:29" x14ac:dyDescent="0.3">
      <c r="I63" s="41"/>
      <c r="J63" s="41"/>
      <c r="K63" s="41"/>
      <c r="L63" s="43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2"/>
      <c r="AB63" s="42"/>
      <c r="AC63" s="42"/>
    </row>
    <row r="64" spans="2:29" x14ac:dyDescent="0.3"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2"/>
      <c r="AB64" s="42"/>
      <c r="AC64" s="42"/>
    </row>
    <row r="65" spans="9:29" x14ac:dyDescent="0.3">
      <c r="I65" s="21" t="s">
        <v>88</v>
      </c>
      <c r="J65" s="9">
        <f t="shared" ref="J65:J70" si="34">((L65+G65)/1.05)-G65</f>
        <v>47739.971428571429</v>
      </c>
      <c r="K65" s="9">
        <f t="shared" ref="K65:K70" si="35">((L65+G65)/1.05)</f>
        <v>47739.971428571429</v>
      </c>
      <c r="L65" s="15">
        <v>50126.97</v>
      </c>
      <c r="M65" s="16">
        <v>45284</v>
      </c>
      <c r="N65" s="17">
        <v>45261</v>
      </c>
      <c r="O65" s="16">
        <v>45708</v>
      </c>
      <c r="P65" s="17">
        <v>45689</v>
      </c>
      <c r="Q65" s="3">
        <f t="shared" ref="Q65:Q70" si="36">(YEAR(O65) - YEAR(M65)) * 12 + MONTH(O65) - MONTH(M65) + 1</f>
        <v>15</v>
      </c>
      <c r="R65" s="3" t="str">
        <f>VLOOKUP(I65, [1]Fleet!$C:$V, 20, FALSE)</f>
        <v>Yes</v>
      </c>
      <c r="S65" s="3">
        <f>VLOOKUP(I65, [1]Fleet!$C:$Q, 14, FALSE)</f>
        <v>24019</v>
      </c>
      <c r="T65" s="24">
        <v>45748</v>
      </c>
      <c r="U65" s="38">
        <v>38420</v>
      </c>
      <c r="V65" s="39">
        <f t="shared" ref="V65:V70" si="37">L65-(C65*Q65)</f>
        <v>50126.97</v>
      </c>
      <c r="W65" s="39">
        <f t="shared" ref="W65:W70" si="38">U65-V65</f>
        <v>-11706.970000000001</v>
      </c>
      <c r="X65" s="40"/>
      <c r="Y65" s="41"/>
      <c r="Z65" s="42">
        <f t="shared" ref="Z65:Z70" si="39">Q65*C65</f>
        <v>0</v>
      </c>
      <c r="AA65" s="42">
        <f>(J65-$F$10)/24</f>
        <v>739.16547619047617</v>
      </c>
      <c r="AB65" s="42">
        <f t="shared" si="32"/>
        <v>11087.482142857143</v>
      </c>
      <c r="AC65" s="42">
        <f t="shared" si="33"/>
        <v>-11087.482142857143</v>
      </c>
    </row>
    <row r="66" spans="9:29" x14ac:dyDescent="0.3">
      <c r="I66" s="21" t="s">
        <v>89</v>
      </c>
      <c r="J66" s="9">
        <f t="shared" si="34"/>
        <v>47739.971428571429</v>
      </c>
      <c r="K66" s="9">
        <f t="shared" si="35"/>
        <v>47739.971428571429</v>
      </c>
      <c r="L66" s="15">
        <v>50126.97</v>
      </c>
      <c r="M66" s="16">
        <v>45284</v>
      </c>
      <c r="N66" s="17">
        <v>45261</v>
      </c>
      <c r="O66" s="16">
        <v>45708</v>
      </c>
      <c r="P66" s="17">
        <v>45689</v>
      </c>
      <c r="Q66" s="3">
        <f t="shared" si="36"/>
        <v>15</v>
      </c>
      <c r="R66" s="3" t="str">
        <f>VLOOKUP(I66, [1]Fleet!$C:$V, 20, FALSE)</f>
        <v>No</v>
      </c>
      <c r="S66" s="3">
        <f>VLOOKUP(I66, [1]Fleet!$C:$Q, 14, FALSE)</f>
        <v>39210</v>
      </c>
      <c r="T66" s="24">
        <v>45748</v>
      </c>
      <c r="U66" s="38">
        <v>35490</v>
      </c>
      <c r="V66" s="39">
        <f t="shared" si="37"/>
        <v>50126.97</v>
      </c>
      <c r="W66" s="39">
        <f t="shared" si="38"/>
        <v>-14636.970000000001</v>
      </c>
      <c r="X66" s="40"/>
      <c r="Y66" s="41"/>
      <c r="Z66" s="42">
        <f t="shared" si="39"/>
        <v>0</v>
      </c>
      <c r="AA66" s="42">
        <f t="shared" ref="AA66:AA70" si="40">(J66-$F$10)/24</f>
        <v>739.16547619047617</v>
      </c>
      <c r="AB66" s="42">
        <f t="shared" si="32"/>
        <v>11087.482142857143</v>
      </c>
      <c r="AC66" s="42">
        <f t="shared" si="33"/>
        <v>-11087.482142857143</v>
      </c>
    </row>
    <row r="67" spans="9:29" x14ac:dyDescent="0.3">
      <c r="I67" s="21" t="s">
        <v>90</v>
      </c>
      <c r="J67" s="9">
        <f t="shared" si="34"/>
        <v>47739.971428571429</v>
      </c>
      <c r="K67" s="9">
        <f t="shared" si="35"/>
        <v>47739.971428571429</v>
      </c>
      <c r="L67" s="15">
        <v>50126.97</v>
      </c>
      <c r="M67" s="16">
        <v>45284</v>
      </c>
      <c r="N67" s="17">
        <v>45261</v>
      </c>
      <c r="O67" s="16">
        <v>45708</v>
      </c>
      <c r="P67" s="17">
        <v>45689</v>
      </c>
      <c r="Q67" s="3">
        <f t="shared" si="36"/>
        <v>15</v>
      </c>
      <c r="R67" s="3" t="str">
        <f>VLOOKUP(I67, [1]Fleet!$C:$V, 20, FALSE)</f>
        <v>No</v>
      </c>
      <c r="S67" s="3">
        <f>VLOOKUP(I67, [1]Fleet!$C:$Q, 14, FALSE)</f>
        <v>47453</v>
      </c>
      <c r="T67" s="24">
        <v>45717</v>
      </c>
      <c r="U67" s="38">
        <v>33000</v>
      </c>
      <c r="V67" s="39">
        <f t="shared" si="37"/>
        <v>50126.97</v>
      </c>
      <c r="W67" s="39">
        <f t="shared" si="38"/>
        <v>-17126.97</v>
      </c>
      <c r="X67" s="40"/>
      <c r="Y67" s="41"/>
      <c r="Z67" s="42">
        <f t="shared" si="39"/>
        <v>0</v>
      </c>
      <c r="AA67" s="42">
        <f t="shared" si="40"/>
        <v>739.16547619047617</v>
      </c>
      <c r="AB67" s="42">
        <f t="shared" si="32"/>
        <v>11087.482142857143</v>
      </c>
      <c r="AC67" s="42">
        <f t="shared" si="33"/>
        <v>-11087.482142857143</v>
      </c>
    </row>
    <row r="68" spans="9:29" x14ac:dyDescent="0.3">
      <c r="I68" s="21" t="s">
        <v>91</v>
      </c>
      <c r="J68" s="9">
        <f t="shared" si="34"/>
        <v>47739.971428571429</v>
      </c>
      <c r="K68" s="9">
        <f t="shared" si="35"/>
        <v>47739.971428571429</v>
      </c>
      <c r="L68" s="15">
        <v>50126.97</v>
      </c>
      <c r="M68" s="16">
        <v>45284</v>
      </c>
      <c r="N68" s="17">
        <v>45261</v>
      </c>
      <c r="O68" s="16">
        <v>45708</v>
      </c>
      <c r="P68" s="17">
        <v>45689</v>
      </c>
      <c r="Q68" s="3">
        <f t="shared" si="36"/>
        <v>15</v>
      </c>
      <c r="R68" s="3" t="str">
        <f>VLOOKUP(I68, [1]Fleet!$C:$V, 20, FALSE)</f>
        <v>Yes</v>
      </c>
      <c r="S68" s="3">
        <f>VLOOKUP(I68, [1]Fleet!$C:$Q, 14, FALSE)</f>
        <v>38351</v>
      </c>
      <c r="T68" s="24">
        <v>45717</v>
      </c>
      <c r="U68" s="38">
        <v>34000</v>
      </c>
      <c r="V68" s="39">
        <f t="shared" si="37"/>
        <v>50126.97</v>
      </c>
      <c r="W68" s="39">
        <f t="shared" si="38"/>
        <v>-16126.970000000001</v>
      </c>
      <c r="X68" s="40"/>
      <c r="Y68" s="41"/>
      <c r="Z68" s="42">
        <f t="shared" si="39"/>
        <v>0</v>
      </c>
      <c r="AA68" s="42">
        <f t="shared" si="40"/>
        <v>739.16547619047617</v>
      </c>
      <c r="AB68" s="42">
        <f t="shared" si="32"/>
        <v>11087.482142857143</v>
      </c>
      <c r="AC68" s="42">
        <f t="shared" si="33"/>
        <v>-11087.482142857143</v>
      </c>
    </row>
    <row r="69" spans="9:29" x14ac:dyDescent="0.3">
      <c r="I69" s="21" t="s">
        <v>92</v>
      </c>
      <c r="J69" s="9">
        <f t="shared" si="34"/>
        <v>47739.971428571429</v>
      </c>
      <c r="K69" s="9">
        <f t="shared" si="35"/>
        <v>47739.971428571429</v>
      </c>
      <c r="L69" s="15">
        <v>50126.97</v>
      </c>
      <c r="M69" s="16">
        <v>45284</v>
      </c>
      <c r="N69" s="17">
        <v>45261</v>
      </c>
      <c r="O69" s="16">
        <v>45708</v>
      </c>
      <c r="P69" s="17">
        <v>45689</v>
      </c>
      <c r="Q69" s="3">
        <f t="shared" si="36"/>
        <v>15</v>
      </c>
      <c r="R69" s="3" t="str">
        <f>VLOOKUP(I69, [1]Fleet!$C:$V, 20, FALSE)</f>
        <v>No</v>
      </c>
      <c r="S69" s="3">
        <f>VLOOKUP(I69, [1]Fleet!$C:$Q, 14, FALSE)</f>
        <v>32851</v>
      </c>
      <c r="T69" s="24">
        <v>45748</v>
      </c>
      <c r="U69" s="38">
        <v>35990</v>
      </c>
      <c r="V69" s="39">
        <f t="shared" si="37"/>
        <v>50126.97</v>
      </c>
      <c r="W69" s="39">
        <f t="shared" si="38"/>
        <v>-14136.970000000001</v>
      </c>
      <c r="X69" s="40"/>
      <c r="Y69" s="41"/>
      <c r="Z69" s="42">
        <f t="shared" si="39"/>
        <v>0</v>
      </c>
      <c r="AA69" s="42">
        <f t="shared" si="40"/>
        <v>739.16547619047617</v>
      </c>
      <c r="AB69" s="42">
        <f t="shared" si="32"/>
        <v>11087.482142857143</v>
      </c>
      <c r="AC69" s="42">
        <f t="shared" si="33"/>
        <v>-11087.482142857143</v>
      </c>
    </row>
    <row r="70" spans="9:29" x14ac:dyDescent="0.3">
      <c r="I70" s="21" t="s">
        <v>93</v>
      </c>
      <c r="J70" s="9">
        <f t="shared" si="34"/>
        <v>47739.971428571429</v>
      </c>
      <c r="K70" s="9">
        <f t="shared" si="35"/>
        <v>47739.971428571429</v>
      </c>
      <c r="L70" s="15">
        <v>50126.97</v>
      </c>
      <c r="M70" s="16">
        <v>45284</v>
      </c>
      <c r="N70" s="17">
        <v>45261</v>
      </c>
      <c r="O70" s="16">
        <v>45708</v>
      </c>
      <c r="P70" s="17">
        <v>45689</v>
      </c>
      <c r="Q70" s="3">
        <f t="shared" si="36"/>
        <v>15</v>
      </c>
      <c r="R70" s="3" t="str">
        <f>VLOOKUP(I70, [1]Fleet!$C:$V, 20, FALSE)</f>
        <v>Yes</v>
      </c>
      <c r="S70" s="3">
        <f>VLOOKUP(I70, [1]Fleet!$C:$Q, 14, FALSE)</f>
        <v>31791</v>
      </c>
      <c r="T70" s="24">
        <v>45748</v>
      </c>
      <c r="U70" s="38">
        <v>35990</v>
      </c>
      <c r="V70" s="39">
        <f t="shared" si="37"/>
        <v>50126.97</v>
      </c>
      <c r="W70" s="39">
        <f t="shared" si="38"/>
        <v>-14136.970000000001</v>
      </c>
      <c r="X70" s="40"/>
      <c r="Y70" s="41"/>
      <c r="Z70" s="42">
        <f t="shared" si="39"/>
        <v>0</v>
      </c>
      <c r="AA70" s="42">
        <f t="shared" si="40"/>
        <v>739.16547619047617</v>
      </c>
      <c r="AB70" s="42">
        <f t="shared" si="32"/>
        <v>11087.482142857143</v>
      </c>
      <c r="AC70" s="42">
        <f t="shared" si="33"/>
        <v>-11087.482142857143</v>
      </c>
    </row>
    <row r="71" spans="9:29" x14ac:dyDescent="0.3"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2"/>
      <c r="AB71" s="42"/>
      <c r="AC71" s="42"/>
    </row>
    <row r="72" spans="9:29" x14ac:dyDescent="0.3">
      <c r="I72" s="3"/>
      <c r="J72" s="9"/>
      <c r="K72" s="9"/>
      <c r="L72" s="9"/>
      <c r="M72" s="23"/>
      <c r="N72" s="23"/>
      <c r="O72" s="3"/>
      <c r="P72" s="3"/>
      <c r="Q72" s="3"/>
      <c r="R72" s="3"/>
      <c r="S72" s="3"/>
      <c r="T72" s="3"/>
      <c r="U72" s="9"/>
      <c r="V72" s="3"/>
      <c r="W72" s="3"/>
      <c r="X72" s="40"/>
      <c r="Y72" s="41"/>
      <c r="Z72" s="41"/>
      <c r="AA72" s="42"/>
      <c r="AB72" s="42"/>
      <c r="AC72" s="42"/>
    </row>
    <row r="73" spans="9:29" x14ac:dyDescent="0.3">
      <c r="I73" s="20" t="s">
        <v>94</v>
      </c>
      <c r="J73" s="9">
        <f>((L73+G73)/1.05)-G73</f>
        <v>53847.428571428572</v>
      </c>
      <c r="K73" s="9">
        <f>((L73+G73)/1.05)</f>
        <v>53847.428571428572</v>
      </c>
      <c r="L73" s="15">
        <v>56539.8</v>
      </c>
      <c r="M73" s="16">
        <v>45373</v>
      </c>
      <c r="N73" s="17">
        <v>45352</v>
      </c>
      <c r="O73" s="16">
        <v>45735</v>
      </c>
      <c r="P73" s="17">
        <v>45717</v>
      </c>
      <c r="Q73" s="3">
        <f>(YEAR(O73) - YEAR(M73)) * 12 + MONTH(O73) - MONTH(M73) + 1</f>
        <v>13</v>
      </c>
      <c r="R73" s="3" t="str">
        <f>VLOOKUP(I73, [1]Fleet!$C:$V, 20, FALSE)</f>
        <v>Yes</v>
      </c>
      <c r="S73" s="3">
        <f>VLOOKUP(I73, [1]Fleet!$C:$Q, 14, FALSE)</f>
        <v>20708</v>
      </c>
      <c r="T73" s="3"/>
      <c r="U73" s="9"/>
      <c r="V73" s="8">
        <f>L73-(C73*Q73)</f>
        <v>56539.8</v>
      </c>
      <c r="W73" s="3"/>
      <c r="X73" s="40"/>
      <c r="Y73" s="41"/>
      <c r="Z73" s="42">
        <f>Q73*C73</f>
        <v>0</v>
      </c>
      <c r="AA73" s="42">
        <f>(J73-$F$18)/24</f>
        <v>2243.6428571428573</v>
      </c>
      <c r="AB73" s="42">
        <f t="shared" si="32"/>
        <v>29167.357142857145</v>
      </c>
      <c r="AC73" s="42">
        <f t="shared" si="33"/>
        <v>-29167.357142857145</v>
      </c>
    </row>
    <row r="74" spans="9:29" x14ac:dyDescent="0.3">
      <c r="I74" s="20" t="s">
        <v>95</v>
      </c>
      <c r="J74" s="9">
        <f>((L74+G74)/1.05)-G74</f>
        <v>53847.428571428572</v>
      </c>
      <c r="K74" s="9">
        <f>((L74+G74)/1.05)</f>
        <v>53847.428571428572</v>
      </c>
      <c r="L74" s="15">
        <v>56539.8</v>
      </c>
      <c r="M74" s="16">
        <v>45365</v>
      </c>
      <c r="N74" s="17">
        <v>45352</v>
      </c>
      <c r="O74" s="16">
        <v>45623</v>
      </c>
      <c r="P74" s="17">
        <v>45597</v>
      </c>
      <c r="Q74" s="3">
        <f>(YEAR(O74) - YEAR(M74)) * 12 + MONTH(O74) - MONTH(M74) + 1</f>
        <v>9</v>
      </c>
      <c r="R74" s="3" t="str">
        <f>VLOOKUP(I74, [1]Fleet!$C:$V, 20, FALSE)</f>
        <v>No</v>
      </c>
      <c r="S74" s="3">
        <f>VLOOKUP(I74, [1]Fleet!$C:$Q, 14, FALSE)</f>
        <v>182</v>
      </c>
      <c r="T74" s="3"/>
      <c r="U74" s="9"/>
      <c r="V74" s="8">
        <f>L74-(C74*Q74)</f>
        <v>56539.8</v>
      </c>
      <c r="W74" s="3"/>
      <c r="X74" s="40"/>
      <c r="Y74" s="41"/>
      <c r="Z74" s="42">
        <f>Q74*C74</f>
        <v>0</v>
      </c>
      <c r="AA74" s="42">
        <f t="shared" ref="AA74:AA75" si="41">(J74-$F$18)/24</f>
        <v>2243.6428571428573</v>
      </c>
      <c r="AB74" s="42">
        <f t="shared" si="32"/>
        <v>20192.785714285717</v>
      </c>
      <c r="AC74" s="42">
        <f t="shared" si="33"/>
        <v>-20192.785714285717</v>
      </c>
    </row>
    <row r="75" spans="9:29" x14ac:dyDescent="0.3">
      <c r="I75" s="20" t="s">
        <v>96</v>
      </c>
      <c r="J75" s="9">
        <f>((L75+G75)/1.05)-G75</f>
        <v>53847.428571428572</v>
      </c>
      <c r="K75" s="9">
        <f>((L75+G75)/1.05)</f>
        <v>53847.428571428572</v>
      </c>
      <c r="L75" s="15">
        <v>56539.8</v>
      </c>
      <c r="M75" s="16">
        <v>45376</v>
      </c>
      <c r="N75" s="17">
        <v>45352</v>
      </c>
      <c r="O75" s="16">
        <v>45623</v>
      </c>
      <c r="P75" s="17">
        <v>45597</v>
      </c>
      <c r="Q75" s="3">
        <f>(YEAR(O75) - YEAR(M75)) * 12 + MONTH(O75) - MONTH(M75) + 1</f>
        <v>9</v>
      </c>
      <c r="R75" s="3" t="str">
        <f>VLOOKUP(I75, [1]Fleet!$C:$V, 20, FALSE)</f>
        <v>No</v>
      </c>
      <c r="S75" s="3">
        <f>VLOOKUP(I75, [1]Fleet!$C:$Q, 14, FALSE)</f>
        <v>311</v>
      </c>
      <c r="T75" s="3"/>
      <c r="U75" s="9"/>
      <c r="V75" s="8">
        <f>L75-(C75*Q75)</f>
        <v>56539.8</v>
      </c>
      <c r="W75" s="3"/>
      <c r="X75" s="40"/>
      <c r="Y75" s="41"/>
      <c r="Z75" s="42">
        <f>Q75*C75</f>
        <v>0</v>
      </c>
      <c r="AA75" s="42">
        <f t="shared" si="41"/>
        <v>2243.6428571428573</v>
      </c>
      <c r="AB75" s="42">
        <f t="shared" si="32"/>
        <v>20192.785714285717</v>
      </c>
      <c r="AC75" s="42">
        <f t="shared" si="33"/>
        <v>-20192.785714285717</v>
      </c>
    </row>
    <row r="76" spans="9:29" x14ac:dyDescent="0.3">
      <c r="I76" s="3"/>
      <c r="J76" s="9"/>
      <c r="K76" s="9"/>
      <c r="L76" s="9"/>
      <c r="M76" s="23"/>
      <c r="N76" s="23"/>
      <c r="O76" s="3"/>
      <c r="P76" s="3"/>
      <c r="Q76" s="3"/>
      <c r="R76" s="3"/>
      <c r="S76" s="3"/>
      <c r="T76" s="3"/>
      <c r="U76" s="9"/>
      <c r="V76" s="3"/>
      <c r="W76" s="3"/>
      <c r="X76" s="40"/>
      <c r="Y76" s="41"/>
      <c r="Z76" s="41"/>
      <c r="AA76" s="42"/>
      <c r="AB76" s="42"/>
      <c r="AC76" s="42"/>
    </row>
    <row r="77" spans="9:29" x14ac:dyDescent="0.3">
      <c r="I77" s="3"/>
      <c r="J77" s="9"/>
      <c r="K77" s="9"/>
      <c r="L77" s="9"/>
      <c r="M77" s="23"/>
      <c r="N77" s="23"/>
      <c r="O77" s="3"/>
      <c r="P77" s="3"/>
      <c r="Q77" s="3"/>
      <c r="R77" s="3"/>
      <c r="S77" s="3"/>
      <c r="T77" s="3"/>
      <c r="U77" s="9"/>
      <c r="V77" s="3"/>
      <c r="W77" s="3"/>
      <c r="X77" s="40"/>
      <c r="Y77" s="41"/>
      <c r="Z77" s="41"/>
      <c r="AA77" s="42"/>
      <c r="AB77" s="42"/>
      <c r="AC77" s="42"/>
    </row>
    <row r="78" spans="9:29" x14ac:dyDescent="0.3">
      <c r="I78" s="20" t="s">
        <v>97</v>
      </c>
      <c r="J78" s="9">
        <f t="shared" ref="J78:J104" si="42">((L78+G78)/1.05)-G78</f>
        <v>44782.095238095237</v>
      </c>
      <c r="K78" s="9">
        <f t="shared" ref="K78:K104" si="43">((L78+G78)/1.05)</f>
        <v>44782.095238095237</v>
      </c>
      <c r="L78" s="15">
        <v>47021.2</v>
      </c>
      <c r="M78" s="16">
        <v>45639</v>
      </c>
      <c r="N78" s="17">
        <v>45627</v>
      </c>
      <c r="O78" s="18">
        <f t="shared" ref="O78:O104" ca="1" si="44">TODAY()</f>
        <v>46106</v>
      </c>
      <c r="P78" s="18"/>
      <c r="Q78" s="3">
        <f t="shared" ref="Q78:Q104" ca="1" si="45">(YEAR(O78) - YEAR(M78)) * 12 + MONTH(O78) - MONTH(M78) + 1</f>
        <v>16</v>
      </c>
      <c r="R78" s="3" t="str">
        <f>VLOOKUP(I78, [1]Fleet!$C:$V, 20, FALSE)</f>
        <v>Yes</v>
      </c>
      <c r="S78" s="3">
        <f>VLOOKUP(I78, [1]Fleet!$C:$Q, 14, FALSE)</f>
        <v>22413</v>
      </c>
      <c r="T78" s="3"/>
      <c r="U78" s="9"/>
      <c r="V78" s="8">
        <f t="shared" ref="V78:V104" ca="1" si="46">L78-(C78*Q78)</f>
        <v>47021.2</v>
      </c>
      <c r="W78" s="3"/>
      <c r="X78" s="40"/>
      <c r="Y78" s="41"/>
      <c r="Z78" s="42">
        <f t="shared" ref="Z78:Z104" ca="1" si="47">Q78*C78</f>
        <v>0</v>
      </c>
      <c r="AA78" s="42">
        <f>(J78-$F$23)/24</f>
        <v>720.08730158730157</v>
      </c>
      <c r="AB78" s="42">
        <f t="shared" ca="1" si="32"/>
        <v>11521.396825396825</v>
      </c>
      <c r="AC78" s="42">
        <f t="shared" ca="1" si="33"/>
        <v>-11521.396825396825</v>
      </c>
    </row>
    <row r="79" spans="9:29" x14ac:dyDescent="0.3">
      <c r="I79" s="20" t="s">
        <v>98</v>
      </c>
      <c r="J79" s="9">
        <f t="shared" si="42"/>
        <v>44782.095238095237</v>
      </c>
      <c r="K79" s="9">
        <f t="shared" si="43"/>
        <v>44782.095238095237</v>
      </c>
      <c r="L79" s="15">
        <v>47021.2</v>
      </c>
      <c r="M79" s="16">
        <v>45643</v>
      </c>
      <c r="N79" s="17">
        <v>45627</v>
      </c>
      <c r="O79" s="18">
        <f t="shared" ca="1" si="44"/>
        <v>46106</v>
      </c>
      <c r="P79" s="18"/>
      <c r="Q79" s="3">
        <f t="shared" ca="1" si="45"/>
        <v>16</v>
      </c>
      <c r="R79" s="3" t="str">
        <f>VLOOKUP(I79, [1]Fleet!$C:$V, 20, FALSE)</f>
        <v>No</v>
      </c>
      <c r="S79" s="3">
        <f>VLOOKUP(I79, [1]Fleet!$C:$Q, 14, FALSE)</f>
        <v>30800</v>
      </c>
      <c r="T79" s="3"/>
      <c r="U79" s="9"/>
      <c r="V79" s="8">
        <f t="shared" ca="1" si="46"/>
        <v>47021.2</v>
      </c>
      <c r="W79" s="3"/>
      <c r="X79" s="40"/>
      <c r="Y79" s="41"/>
      <c r="Z79" s="42">
        <f t="shared" ca="1" si="47"/>
        <v>0</v>
      </c>
      <c r="AA79" s="42">
        <f t="shared" ref="AA79:AA104" si="48">(J79-$F$23)/24</f>
        <v>720.08730158730157</v>
      </c>
      <c r="AB79" s="42">
        <f t="shared" ca="1" si="32"/>
        <v>11521.396825396825</v>
      </c>
      <c r="AC79" s="42">
        <f t="shared" ca="1" si="33"/>
        <v>-11521.396825396825</v>
      </c>
    </row>
    <row r="80" spans="9:29" x14ac:dyDescent="0.3">
      <c r="I80" s="20" t="s">
        <v>99</v>
      </c>
      <c r="J80" s="9">
        <f t="shared" si="42"/>
        <v>44782.095238095237</v>
      </c>
      <c r="K80" s="9">
        <f t="shared" si="43"/>
        <v>44782.095238095237</v>
      </c>
      <c r="L80" s="15">
        <v>47021.2</v>
      </c>
      <c r="M80" s="16">
        <v>45643</v>
      </c>
      <c r="N80" s="17">
        <v>45627</v>
      </c>
      <c r="O80" s="18">
        <f t="shared" ca="1" si="44"/>
        <v>46106</v>
      </c>
      <c r="P80" s="18"/>
      <c r="Q80" s="3">
        <f t="shared" ca="1" si="45"/>
        <v>16</v>
      </c>
      <c r="R80" s="3" t="str">
        <f>VLOOKUP(I80, [1]Fleet!$C:$V, 20, FALSE)</f>
        <v>No</v>
      </c>
      <c r="S80" s="3">
        <f>VLOOKUP(I80, [1]Fleet!$C:$Q, 14, FALSE)</f>
        <v>30932</v>
      </c>
      <c r="T80" s="3"/>
      <c r="U80" s="9"/>
      <c r="V80" s="8">
        <f t="shared" ca="1" si="46"/>
        <v>47021.2</v>
      </c>
      <c r="W80" s="3"/>
      <c r="X80" s="40"/>
      <c r="Y80" s="41"/>
      <c r="Z80" s="42">
        <f t="shared" ca="1" si="47"/>
        <v>0</v>
      </c>
      <c r="AA80" s="42">
        <f t="shared" si="48"/>
        <v>720.08730158730157</v>
      </c>
      <c r="AB80" s="42">
        <f t="shared" ca="1" si="32"/>
        <v>11521.396825396825</v>
      </c>
      <c r="AC80" s="42">
        <f t="shared" ca="1" si="33"/>
        <v>-11521.396825396825</v>
      </c>
    </row>
    <row r="81" spans="9:29" x14ac:dyDescent="0.3">
      <c r="I81" s="20" t="s">
        <v>100</v>
      </c>
      <c r="J81" s="9">
        <f t="shared" si="42"/>
        <v>44782.095238095237</v>
      </c>
      <c r="K81" s="9">
        <f t="shared" si="43"/>
        <v>44782.095238095237</v>
      </c>
      <c r="L81" s="15">
        <v>47021.2</v>
      </c>
      <c r="M81" s="16">
        <v>45643</v>
      </c>
      <c r="N81" s="17">
        <v>45627</v>
      </c>
      <c r="O81" s="18">
        <f t="shared" ca="1" si="44"/>
        <v>46106</v>
      </c>
      <c r="P81" s="18"/>
      <c r="Q81" s="3">
        <f t="shared" ca="1" si="45"/>
        <v>16</v>
      </c>
      <c r="R81" s="3" t="str">
        <f>VLOOKUP(I81, [1]Fleet!$C:$V, 20, FALSE)</f>
        <v>No</v>
      </c>
      <c r="S81" s="3">
        <f>VLOOKUP(I81, [1]Fleet!$C:$Q, 14, FALSE)</f>
        <v>36433</v>
      </c>
      <c r="T81" s="3"/>
      <c r="U81" s="9"/>
      <c r="V81" s="8">
        <f t="shared" ca="1" si="46"/>
        <v>47021.2</v>
      </c>
      <c r="W81" s="3"/>
      <c r="X81" s="40"/>
      <c r="Y81" s="41"/>
      <c r="Z81" s="42">
        <f t="shared" ca="1" si="47"/>
        <v>0</v>
      </c>
      <c r="AA81" s="42">
        <f t="shared" si="48"/>
        <v>720.08730158730157</v>
      </c>
      <c r="AB81" s="42">
        <f t="shared" ca="1" si="32"/>
        <v>11521.396825396825</v>
      </c>
      <c r="AC81" s="42">
        <f t="shared" ca="1" si="33"/>
        <v>-11521.396825396825</v>
      </c>
    </row>
    <row r="82" spans="9:29" x14ac:dyDescent="0.3">
      <c r="I82" s="20" t="s">
        <v>101</v>
      </c>
      <c r="J82" s="9">
        <f t="shared" si="42"/>
        <v>44782.095238095237</v>
      </c>
      <c r="K82" s="9">
        <f t="shared" si="43"/>
        <v>44782.095238095237</v>
      </c>
      <c r="L82" s="15">
        <v>47021.2</v>
      </c>
      <c r="M82" s="16">
        <v>45643</v>
      </c>
      <c r="N82" s="17">
        <v>45627</v>
      </c>
      <c r="O82" s="18">
        <f t="shared" ca="1" si="44"/>
        <v>46106</v>
      </c>
      <c r="P82" s="18"/>
      <c r="Q82" s="3">
        <f t="shared" ca="1" si="45"/>
        <v>16</v>
      </c>
      <c r="R82" s="3" t="str">
        <f>VLOOKUP(I82, [1]Fleet!$C:$V, 20, FALSE)</f>
        <v>No</v>
      </c>
      <c r="S82" s="3">
        <f>VLOOKUP(I82, [1]Fleet!$C:$Q, 14, FALSE)</f>
        <v>38373</v>
      </c>
      <c r="T82" s="3"/>
      <c r="U82" s="9"/>
      <c r="V82" s="8">
        <f t="shared" ca="1" si="46"/>
        <v>47021.2</v>
      </c>
      <c r="W82" s="3"/>
      <c r="X82" s="40"/>
      <c r="Y82" s="41"/>
      <c r="Z82" s="42">
        <f t="shared" ca="1" si="47"/>
        <v>0</v>
      </c>
      <c r="AA82" s="42">
        <f t="shared" si="48"/>
        <v>720.08730158730157</v>
      </c>
      <c r="AB82" s="42">
        <f t="shared" ca="1" si="32"/>
        <v>11521.396825396825</v>
      </c>
      <c r="AC82" s="42">
        <f t="shared" ca="1" si="33"/>
        <v>-11521.396825396825</v>
      </c>
    </row>
    <row r="83" spans="9:29" x14ac:dyDescent="0.3">
      <c r="I83" s="20" t="s">
        <v>102</v>
      </c>
      <c r="J83" s="9">
        <f t="shared" si="42"/>
        <v>44782.095238095237</v>
      </c>
      <c r="K83" s="9">
        <f t="shared" si="43"/>
        <v>44782.095238095237</v>
      </c>
      <c r="L83" s="15">
        <v>47021.2</v>
      </c>
      <c r="M83" s="16">
        <v>45643</v>
      </c>
      <c r="N83" s="17">
        <v>45627</v>
      </c>
      <c r="O83" s="18">
        <f t="shared" ca="1" si="44"/>
        <v>46106</v>
      </c>
      <c r="P83" s="18"/>
      <c r="Q83" s="3">
        <f t="shared" ca="1" si="45"/>
        <v>16</v>
      </c>
      <c r="R83" s="3" t="str">
        <f>VLOOKUP(I83, [1]Fleet!$C:$V, 20, FALSE)</f>
        <v>No</v>
      </c>
      <c r="S83" s="3">
        <f>VLOOKUP(I83, [1]Fleet!$C:$Q, 14, FALSE)</f>
        <v>47646</v>
      </c>
      <c r="T83" s="3"/>
      <c r="U83" s="9"/>
      <c r="V83" s="8">
        <f t="shared" ca="1" si="46"/>
        <v>47021.2</v>
      </c>
      <c r="W83" s="3"/>
      <c r="X83" s="40"/>
      <c r="Y83" s="41"/>
      <c r="Z83" s="42">
        <f t="shared" ca="1" si="47"/>
        <v>0</v>
      </c>
      <c r="AA83" s="42">
        <f t="shared" si="48"/>
        <v>720.08730158730157</v>
      </c>
      <c r="AB83" s="42">
        <f t="shared" ca="1" si="32"/>
        <v>11521.396825396825</v>
      </c>
      <c r="AC83" s="42">
        <f t="shared" ca="1" si="33"/>
        <v>-11521.396825396825</v>
      </c>
    </row>
    <row r="84" spans="9:29" x14ac:dyDescent="0.3">
      <c r="I84" s="20" t="s">
        <v>103</v>
      </c>
      <c r="J84" s="9">
        <f t="shared" si="42"/>
        <v>44782.095238095237</v>
      </c>
      <c r="K84" s="9">
        <f t="shared" si="43"/>
        <v>44782.095238095237</v>
      </c>
      <c r="L84" s="15">
        <v>47021.2</v>
      </c>
      <c r="M84" s="16">
        <v>45643</v>
      </c>
      <c r="N84" s="17">
        <v>45627</v>
      </c>
      <c r="O84" s="18">
        <f t="shared" ca="1" si="44"/>
        <v>46106</v>
      </c>
      <c r="P84" s="18"/>
      <c r="Q84" s="3">
        <f t="shared" ca="1" si="45"/>
        <v>16</v>
      </c>
      <c r="R84" s="3" t="str">
        <f>VLOOKUP(I84, [1]Fleet!$C:$V, 20, FALSE)</f>
        <v>No</v>
      </c>
      <c r="S84" s="3">
        <f>VLOOKUP(I84, [1]Fleet!$C:$Q, 14, FALSE)</f>
        <v>32147</v>
      </c>
      <c r="T84" s="3"/>
      <c r="U84" s="9"/>
      <c r="V84" s="8">
        <f t="shared" ca="1" si="46"/>
        <v>47021.2</v>
      </c>
      <c r="W84" s="3"/>
      <c r="X84" s="40"/>
      <c r="Y84" s="41"/>
      <c r="Z84" s="42">
        <f t="shared" ca="1" si="47"/>
        <v>0</v>
      </c>
      <c r="AA84" s="42">
        <f t="shared" si="48"/>
        <v>720.08730158730157</v>
      </c>
      <c r="AB84" s="42">
        <f t="shared" ca="1" si="32"/>
        <v>11521.396825396825</v>
      </c>
      <c r="AC84" s="42">
        <f t="shared" ca="1" si="33"/>
        <v>-11521.396825396825</v>
      </c>
    </row>
    <row r="85" spans="9:29" x14ac:dyDescent="0.3">
      <c r="I85" s="20" t="s">
        <v>104</v>
      </c>
      <c r="J85" s="9">
        <f t="shared" si="42"/>
        <v>44782.095238095237</v>
      </c>
      <c r="K85" s="9">
        <f t="shared" si="43"/>
        <v>44782.095238095237</v>
      </c>
      <c r="L85" s="15">
        <v>47021.2</v>
      </c>
      <c r="M85" s="16">
        <v>45639</v>
      </c>
      <c r="N85" s="17">
        <v>45627</v>
      </c>
      <c r="O85" s="18">
        <f t="shared" ca="1" si="44"/>
        <v>46106</v>
      </c>
      <c r="P85" s="18"/>
      <c r="Q85" s="3">
        <f t="shared" ca="1" si="45"/>
        <v>16</v>
      </c>
      <c r="R85" s="3" t="str">
        <f>VLOOKUP(I85, [1]Fleet!$C:$V, 20, FALSE)</f>
        <v>Yes</v>
      </c>
      <c r="S85" s="3">
        <f>VLOOKUP(I85, [1]Fleet!$C:$Q, 14, FALSE)</f>
        <v>20630</v>
      </c>
      <c r="T85" s="3"/>
      <c r="U85" s="9"/>
      <c r="V85" s="8">
        <f t="shared" ca="1" si="46"/>
        <v>47021.2</v>
      </c>
      <c r="W85" s="3"/>
      <c r="X85" s="40"/>
      <c r="Y85" s="41"/>
      <c r="Z85" s="42">
        <f t="shared" ca="1" si="47"/>
        <v>0</v>
      </c>
      <c r="AA85" s="42">
        <f t="shared" si="48"/>
        <v>720.08730158730157</v>
      </c>
      <c r="AB85" s="42">
        <f t="shared" ca="1" si="32"/>
        <v>11521.396825396825</v>
      </c>
      <c r="AC85" s="42">
        <f t="shared" ca="1" si="33"/>
        <v>-11521.396825396825</v>
      </c>
    </row>
    <row r="86" spans="9:29" x14ac:dyDescent="0.3">
      <c r="I86" s="20" t="s">
        <v>105</v>
      </c>
      <c r="J86" s="9">
        <f t="shared" si="42"/>
        <v>44782.095238095237</v>
      </c>
      <c r="K86" s="9">
        <f t="shared" si="43"/>
        <v>44782.095238095237</v>
      </c>
      <c r="L86" s="15">
        <v>47021.2</v>
      </c>
      <c r="M86" s="16">
        <v>45639</v>
      </c>
      <c r="N86" s="17">
        <v>45627</v>
      </c>
      <c r="O86" s="18">
        <f t="shared" ca="1" si="44"/>
        <v>46106</v>
      </c>
      <c r="P86" s="18"/>
      <c r="Q86" s="3">
        <f t="shared" ca="1" si="45"/>
        <v>16</v>
      </c>
      <c r="R86" s="3" t="str">
        <f>VLOOKUP(I86, [1]Fleet!$C:$V, 20, FALSE)</f>
        <v>No</v>
      </c>
      <c r="S86" s="3">
        <f>VLOOKUP(I86, [1]Fleet!$C:$Q, 14, FALSE)</f>
        <v>26034</v>
      </c>
      <c r="T86" s="3"/>
      <c r="U86" s="9"/>
      <c r="V86" s="8">
        <f t="shared" ca="1" si="46"/>
        <v>47021.2</v>
      </c>
      <c r="W86" s="3"/>
      <c r="X86" s="40"/>
      <c r="Y86" s="41"/>
      <c r="Z86" s="42">
        <f t="shared" ca="1" si="47"/>
        <v>0</v>
      </c>
      <c r="AA86" s="42">
        <f t="shared" si="48"/>
        <v>720.08730158730157</v>
      </c>
      <c r="AB86" s="42">
        <f t="shared" ca="1" si="32"/>
        <v>11521.396825396825</v>
      </c>
      <c r="AC86" s="42">
        <f t="shared" ca="1" si="33"/>
        <v>-11521.396825396825</v>
      </c>
    </row>
    <row r="87" spans="9:29" x14ac:dyDescent="0.3">
      <c r="I87" s="20" t="s">
        <v>106</v>
      </c>
      <c r="J87" s="9">
        <f t="shared" si="42"/>
        <v>44782.095238095237</v>
      </c>
      <c r="K87" s="9">
        <f t="shared" si="43"/>
        <v>44782.095238095237</v>
      </c>
      <c r="L87" s="15">
        <v>47021.2</v>
      </c>
      <c r="M87" s="16">
        <v>45639</v>
      </c>
      <c r="N87" s="17">
        <v>45627</v>
      </c>
      <c r="O87" s="18">
        <f t="shared" ca="1" si="44"/>
        <v>46106</v>
      </c>
      <c r="P87" s="18"/>
      <c r="Q87" s="3">
        <f t="shared" ca="1" si="45"/>
        <v>16</v>
      </c>
      <c r="R87" s="3" t="str">
        <f>VLOOKUP(I87, [1]Fleet!$C:$V, 20, FALSE)</f>
        <v>No</v>
      </c>
      <c r="S87" s="3">
        <f>VLOOKUP(I87, [1]Fleet!$C:$Q, 14, FALSE)</f>
        <v>36906</v>
      </c>
      <c r="T87" s="3"/>
      <c r="U87" s="9"/>
      <c r="V87" s="8">
        <f t="shared" ca="1" si="46"/>
        <v>47021.2</v>
      </c>
      <c r="W87" s="3"/>
      <c r="X87" s="40"/>
      <c r="Y87" s="41"/>
      <c r="Z87" s="42">
        <f t="shared" ca="1" si="47"/>
        <v>0</v>
      </c>
      <c r="AA87" s="42">
        <f t="shared" si="48"/>
        <v>720.08730158730157</v>
      </c>
      <c r="AB87" s="42">
        <f t="shared" ca="1" si="32"/>
        <v>11521.396825396825</v>
      </c>
      <c r="AC87" s="42">
        <f t="shared" ca="1" si="33"/>
        <v>-11521.396825396825</v>
      </c>
    </row>
    <row r="88" spans="9:29" x14ac:dyDescent="0.3">
      <c r="I88" s="20" t="s">
        <v>107</v>
      </c>
      <c r="J88" s="9">
        <f t="shared" si="42"/>
        <v>44782.095238095237</v>
      </c>
      <c r="K88" s="9">
        <f t="shared" si="43"/>
        <v>44782.095238095237</v>
      </c>
      <c r="L88" s="15">
        <v>47021.2</v>
      </c>
      <c r="M88" s="16">
        <v>45639</v>
      </c>
      <c r="N88" s="17">
        <v>45627</v>
      </c>
      <c r="O88" s="18">
        <f t="shared" ca="1" si="44"/>
        <v>46106</v>
      </c>
      <c r="P88" s="18"/>
      <c r="Q88" s="3">
        <f t="shared" ca="1" si="45"/>
        <v>16</v>
      </c>
      <c r="R88" s="3" t="str">
        <f>VLOOKUP(I88, [1]Fleet!$C:$V, 20, FALSE)</f>
        <v>No</v>
      </c>
      <c r="S88" s="3">
        <f>VLOOKUP(I88, [1]Fleet!$C:$Q, 14, FALSE)</f>
        <v>22055</v>
      </c>
      <c r="T88" s="3"/>
      <c r="U88" s="9"/>
      <c r="V88" s="8">
        <f t="shared" ca="1" si="46"/>
        <v>47021.2</v>
      </c>
      <c r="W88" s="3"/>
      <c r="X88" s="40"/>
      <c r="Y88" s="41"/>
      <c r="Z88" s="42">
        <f t="shared" ca="1" si="47"/>
        <v>0</v>
      </c>
      <c r="AA88" s="42">
        <f t="shared" si="48"/>
        <v>720.08730158730157</v>
      </c>
      <c r="AB88" s="42">
        <f t="shared" ca="1" si="32"/>
        <v>11521.396825396825</v>
      </c>
      <c r="AC88" s="42">
        <f t="shared" ca="1" si="33"/>
        <v>-11521.396825396825</v>
      </c>
    </row>
    <row r="89" spans="9:29" x14ac:dyDescent="0.3">
      <c r="I89" s="20" t="s">
        <v>108</v>
      </c>
      <c r="J89" s="9">
        <f t="shared" si="42"/>
        <v>44782.095238095237</v>
      </c>
      <c r="K89" s="9">
        <f t="shared" si="43"/>
        <v>44782.095238095237</v>
      </c>
      <c r="L89" s="15">
        <v>47021.2</v>
      </c>
      <c r="M89" s="16">
        <v>45639</v>
      </c>
      <c r="N89" s="17">
        <v>45627</v>
      </c>
      <c r="O89" s="18">
        <f t="shared" ca="1" si="44"/>
        <v>46106</v>
      </c>
      <c r="P89" s="18"/>
      <c r="Q89" s="3">
        <f t="shared" ca="1" si="45"/>
        <v>16</v>
      </c>
      <c r="R89" s="3" t="str">
        <f>VLOOKUP(I89, [1]Fleet!$C:$V, 20, FALSE)</f>
        <v>No</v>
      </c>
      <c r="S89" s="3">
        <f>VLOOKUP(I89, [1]Fleet!$C:$Q, 14, FALSE)</f>
        <v>29987</v>
      </c>
      <c r="T89" s="3"/>
      <c r="U89" s="9"/>
      <c r="V89" s="8">
        <f t="shared" ca="1" si="46"/>
        <v>47021.2</v>
      </c>
      <c r="W89" s="3"/>
      <c r="X89" s="40"/>
      <c r="Y89" s="41"/>
      <c r="Z89" s="42">
        <f t="shared" ca="1" si="47"/>
        <v>0</v>
      </c>
      <c r="AA89" s="42">
        <f t="shared" si="48"/>
        <v>720.08730158730157</v>
      </c>
      <c r="AB89" s="42">
        <f t="shared" ca="1" si="32"/>
        <v>11521.396825396825</v>
      </c>
      <c r="AC89" s="42">
        <f t="shared" ca="1" si="33"/>
        <v>-11521.396825396825</v>
      </c>
    </row>
    <row r="90" spans="9:29" x14ac:dyDescent="0.3">
      <c r="I90" s="20" t="s">
        <v>109</v>
      </c>
      <c r="J90" s="9">
        <f t="shared" si="42"/>
        <v>44782.095238095237</v>
      </c>
      <c r="K90" s="9">
        <f t="shared" si="43"/>
        <v>44782.095238095237</v>
      </c>
      <c r="L90" s="15">
        <v>47021.2</v>
      </c>
      <c r="M90" s="16">
        <v>45639</v>
      </c>
      <c r="N90" s="17">
        <v>45627</v>
      </c>
      <c r="O90" s="18">
        <f t="shared" ca="1" si="44"/>
        <v>46106</v>
      </c>
      <c r="P90" s="18"/>
      <c r="Q90" s="3">
        <f t="shared" ca="1" si="45"/>
        <v>16</v>
      </c>
      <c r="R90" s="3" t="str">
        <f>VLOOKUP(I90, [1]Fleet!$C:$V, 20, FALSE)</f>
        <v>No</v>
      </c>
      <c r="S90" s="3">
        <f>VLOOKUP(I90, [1]Fleet!$C:$Q, 14, FALSE)</f>
        <v>29127</v>
      </c>
      <c r="T90" s="3"/>
      <c r="U90" s="9"/>
      <c r="V90" s="8">
        <f t="shared" ca="1" si="46"/>
        <v>47021.2</v>
      </c>
      <c r="W90" s="3"/>
      <c r="X90" s="40"/>
      <c r="Y90" s="41"/>
      <c r="Z90" s="42">
        <f t="shared" ca="1" si="47"/>
        <v>0</v>
      </c>
      <c r="AA90" s="42">
        <f t="shared" si="48"/>
        <v>720.08730158730157</v>
      </c>
      <c r="AB90" s="42">
        <f t="shared" ca="1" si="32"/>
        <v>11521.396825396825</v>
      </c>
      <c r="AC90" s="42">
        <f t="shared" ca="1" si="33"/>
        <v>-11521.396825396825</v>
      </c>
    </row>
    <row r="91" spans="9:29" x14ac:dyDescent="0.3">
      <c r="I91" s="20" t="s">
        <v>110</v>
      </c>
      <c r="J91" s="9">
        <f t="shared" si="42"/>
        <v>44782.095238095237</v>
      </c>
      <c r="K91" s="9">
        <f t="shared" si="43"/>
        <v>44782.095238095237</v>
      </c>
      <c r="L91" s="15">
        <v>47021.2</v>
      </c>
      <c r="M91" s="16">
        <v>45624</v>
      </c>
      <c r="N91" s="17">
        <v>45597</v>
      </c>
      <c r="O91" s="18">
        <f t="shared" ca="1" si="44"/>
        <v>46106</v>
      </c>
      <c r="P91" s="18"/>
      <c r="Q91" s="3">
        <f t="shared" ca="1" si="45"/>
        <v>17</v>
      </c>
      <c r="R91" s="3" t="str">
        <f>VLOOKUP(I91, [1]Fleet!$C:$V, 20, FALSE)</f>
        <v>No</v>
      </c>
      <c r="S91" s="3">
        <f>VLOOKUP(I91, [1]Fleet!$C:$Q, 14, FALSE)</f>
        <v>20781</v>
      </c>
      <c r="T91" s="3"/>
      <c r="U91" s="9"/>
      <c r="V91" s="8">
        <f t="shared" ca="1" si="46"/>
        <v>47021.2</v>
      </c>
      <c r="W91" s="3"/>
      <c r="X91" s="40"/>
      <c r="Y91" s="41"/>
      <c r="Z91" s="42">
        <f t="shared" ca="1" si="47"/>
        <v>0</v>
      </c>
      <c r="AA91" s="42">
        <f t="shared" si="48"/>
        <v>720.08730158730157</v>
      </c>
      <c r="AB91" s="42">
        <f t="shared" ca="1" si="32"/>
        <v>12241.484126984127</v>
      </c>
      <c r="AC91" s="42">
        <f t="shared" ca="1" si="33"/>
        <v>-12241.484126984127</v>
      </c>
    </row>
    <row r="92" spans="9:29" x14ac:dyDescent="0.3">
      <c r="I92" s="20" t="s">
        <v>111</v>
      </c>
      <c r="J92" s="9">
        <f t="shared" si="42"/>
        <v>44782.095238095237</v>
      </c>
      <c r="K92" s="9">
        <f t="shared" si="43"/>
        <v>44782.095238095237</v>
      </c>
      <c r="L92" s="15">
        <v>47021.2</v>
      </c>
      <c r="M92" s="16">
        <v>45624</v>
      </c>
      <c r="N92" s="17">
        <v>45597</v>
      </c>
      <c r="O92" s="18">
        <f t="shared" ca="1" si="44"/>
        <v>46106</v>
      </c>
      <c r="P92" s="18"/>
      <c r="Q92" s="3">
        <f t="shared" ca="1" si="45"/>
        <v>17</v>
      </c>
      <c r="R92" s="3" t="str">
        <f>VLOOKUP(I92, [1]Fleet!$C:$V, 20, FALSE)</f>
        <v>No</v>
      </c>
      <c r="S92" s="3">
        <f>VLOOKUP(I92, [1]Fleet!$C:$Q, 14, FALSE)</f>
        <v>37369</v>
      </c>
      <c r="T92" s="3"/>
      <c r="U92" s="9"/>
      <c r="V92" s="8">
        <f t="shared" ca="1" si="46"/>
        <v>47021.2</v>
      </c>
      <c r="W92" s="3"/>
      <c r="X92" s="40"/>
      <c r="Y92" s="41"/>
      <c r="Z92" s="42">
        <f t="shared" ca="1" si="47"/>
        <v>0</v>
      </c>
      <c r="AA92" s="42">
        <f t="shared" si="48"/>
        <v>720.08730158730157</v>
      </c>
      <c r="AB92" s="42">
        <f t="shared" ca="1" si="32"/>
        <v>12241.484126984127</v>
      </c>
      <c r="AC92" s="42">
        <f t="shared" ca="1" si="33"/>
        <v>-12241.484126984127</v>
      </c>
    </row>
    <row r="93" spans="9:29" x14ac:dyDescent="0.3">
      <c r="I93" s="20" t="s">
        <v>112</v>
      </c>
      <c r="J93" s="9">
        <f t="shared" si="42"/>
        <v>44782.095238095237</v>
      </c>
      <c r="K93" s="9">
        <f t="shared" si="43"/>
        <v>44782.095238095237</v>
      </c>
      <c r="L93" s="15">
        <v>47021.2</v>
      </c>
      <c r="M93" s="16">
        <v>45624</v>
      </c>
      <c r="N93" s="17">
        <v>45597</v>
      </c>
      <c r="O93" s="18">
        <f t="shared" ca="1" si="44"/>
        <v>46106</v>
      </c>
      <c r="P93" s="18"/>
      <c r="Q93" s="3">
        <f t="shared" ca="1" si="45"/>
        <v>17</v>
      </c>
      <c r="R93" s="3" t="str">
        <f>VLOOKUP(I93, [1]Fleet!$C:$V, 20, FALSE)</f>
        <v>No</v>
      </c>
      <c r="S93" s="3">
        <f>VLOOKUP(I93, [1]Fleet!$C:$Q, 14, FALSE)</f>
        <v>34646</v>
      </c>
      <c r="T93" s="3"/>
      <c r="U93" s="9"/>
      <c r="V93" s="8">
        <f t="shared" ca="1" si="46"/>
        <v>47021.2</v>
      </c>
      <c r="W93" s="3"/>
      <c r="X93" s="40"/>
      <c r="Y93" s="41"/>
      <c r="Z93" s="42">
        <f t="shared" ca="1" si="47"/>
        <v>0</v>
      </c>
      <c r="AA93" s="42">
        <f t="shared" si="48"/>
        <v>720.08730158730157</v>
      </c>
      <c r="AB93" s="42">
        <f t="shared" ca="1" si="32"/>
        <v>12241.484126984127</v>
      </c>
      <c r="AC93" s="42">
        <f t="shared" ca="1" si="33"/>
        <v>-12241.484126984127</v>
      </c>
    </row>
    <row r="94" spans="9:29" x14ac:dyDescent="0.3">
      <c r="I94" s="20" t="s">
        <v>113</v>
      </c>
      <c r="J94" s="9">
        <f t="shared" si="42"/>
        <v>44782.095238095237</v>
      </c>
      <c r="K94" s="9">
        <f t="shared" si="43"/>
        <v>44782.095238095237</v>
      </c>
      <c r="L94" s="15">
        <v>47021.2</v>
      </c>
      <c r="M94" s="16">
        <v>45624</v>
      </c>
      <c r="N94" s="17">
        <v>45597</v>
      </c>
      <c r="O94" s="18">
        <f t="shared" ca="1" si="44"/>
        <v>46106</v>
      </c>
      <c r="P94" s="18"/>
      <c r="Q94" s="3">
        <f t="shared" ca="1" si="45"/>
        <v>17</v>
      </c>
      <c r="R94" s="3" t="str">
        <f>VLOOKUP(I94, [1]Fleet!$C:$V, 20, FALSE)</f>
        <v>No</v>
      </c>
      <c r="S94" s="3">
        <f>VLOOKUP(I94, [1]Fleet!$C:$Q, 14, FALSE)</f>
        <v>36915</v>
      </c>
      <c r="T94" s="3"/>
      <c r="U94" s="9"/>
      <c r="V94" s="8">
        <f t="shared" ca="1" si="46"/>
        <v>47021.2</v>
      </c>
      <c r="W94" s="3"/>
      <c r="X94" s="40"/>
      <c r="Y94" s="41"/>
      <c r="Z94" s="42">
        <f t="shared" ca="1" si="47"/>
        <v>0</v>
      </c>
      <c r="AA94" s="42">
        <f t="shared" si="48"/>
        <v>720.08730158730157</v>
      </c>
      <c r="AB94" s="42">
        <f t="shared" ca="1" si="32"/>
        <v>12241.484126984127</v>
      </c>
      <c r="AC94" s="42">
        <f t="shared" ca="1" si="33"/>
        <v>-12241.484126984127</v>
      </c>
    </row>
    <row r="95" spans="9:29" x14ac:dyDescent="0.3">
      <c r="I95" s="20" t="s">
        <v>114</v>
      </c>
      <c r="J95" s="9">
        <f t="shared" si="42"/>
        <v>44782.095238095237</v>
      </c>
      <c r="K95" s="9">
        <f t="shared" si="43"/>
        <v>44782.095238095237</v>
      </c>
      <c r="L95" s="15">
        <v>47021.2</v>
      </c>
      <c r="M95" s="16">
        <v>45624</v>
      </c>
      <c r="N95" s="17">
        <v>45597</v>
      </c>
      <c r="O95" s="18">
        <f t="shared" ca="1" si="44"/>
        <v>46106</v>
      </c>
      <c r="P95" s="18"/>
      <c r="Q95" s="3">
        <f t="shared" ca="1" si="45"/>
        <v>17</v>
      </c>
      <c r="R95" s="3" t="str">
        <f>VLOOKUP(I95, [1]Fleet!$C:$V, 20, FALSE)</f>
        <v>No</v>
      </c>
      <c r="S95" s="3">
        <f>VLOOKUP(I95, [1]Fleet!$C:$Q, 14, FALSE)</f>
        <v>27018</v>
      </c>
      <c r="T95" s="3"/>
      <c r="U95" s="9"/>
      <c r="V95" s="8">
        <f t="shared" ca="1" si="46"/>
        <v>47021.2</v>
      </c>
      <c r="W95" s="3"/>
      <c r="X95" s="40"/>
      <c r="Y95" s="41"/>
      <c r="Z95" s="42">
        <f t="shared" ca="1" si="47"/>
        <v>0</v>
      </c>
      <c r="AA95" s="42">
        <f t="shared" si="48"/>
        <v>720.08730158730157</v>
      </c>
      <c r="AB95" s="42">
        <f t="shared" ca="1" si="32"/>
        <v>12241.484126984127</v>
      </c>
      <c r="AC95" s="42">
        <f t="shared" ca="1" si="33"/>
        <v>-12241.484126984127</v>
      </c>
    </row>
    <row r="96" spans="9:29" x14ac:dyDescent="0.3">
      <c r="I96" s="20" t="s">
        <v>115</v>
      </c>
      <c r="J96" s="9">
        <f t="shared" si="42"/>
        <v>44782.095238095237</v>
      </c>
      <c r="K96" s="9">
        <f>((L96+G96)/1.05)</f>
        <v>44782.095238095237</v>
      </c>
      <c r="L96" s="15">
        <v>47021.2</v>
      </c>
      <c r="M96" s="16">
        <v>45624</v>
      </c>
      <c r="N96" s="17">
        <v>45597</v>
      </c>
      <c r="O96" s="18">
        <f t="shared" ca="1" si="44"/>
        <v>46106</v>
      </c>
      <c r="P96" s="18"/>
      <c r="Q96" s="3">
        <f t="shared" ca="1" si="45"/>
        <v>17</v>
      </c>
      <c r="R96" s="3" t="str">
        <f>VLOOKUP(I96, [1]Fleet!$C:$V, 20, FALSE)</f>
        <v>No</v>
      </c>
      <c r="S96" s="3">
        <f>VLOOKUP(I96, [1]Fleet!$C:$Q, 14, FALSE)</f>
        <v>24713</v>
      </c>
      <c r="T96" s="3"/>
      <c r="U96" s="9"/>
      <c r="V96" s="8">
        <f t="shared" ca="1" si="46"/>
        <v>47021.2</v>
      </c>
      <c r="W96" s="3"/>
      <c r="X96" s="40"/>
      <c r="Y96" s="41"/>
      <c r="Z96" s="42">
        <f t="shared" ca="1" si="47"/>
        <v>0</v>
      </c>
      <c r="AA96" s="42">
        <f t="shared" si="48"/>
        <v>720.08730158730157</v>
      </c>
      <c r="AB96" s="42">
        <f t="shared" ca="1" si="32"/>
        <v>12241.484126984127</v>
      </c>
      <c r="AC96" s="42">
        <f t="shared" ca="1" si="33"/>
        <v>-12241.484126984127</v>
      </c>
    </row>
    <row r="97" spans="9:29" x14ac:dyDescent="0.3">
      <c r="I97" s="20" t="s">
        <v>116</v>
      </c>
      <c r="J97" s="9">
        <f t="shared" si="42"/>
        <v>44782.095238095237</v>
      </c>
      <c r="K97" s="9">
        <f t="shared" si="43"/>
        <v>44782.095238095237</v>
      </c>
      <c r="L97" s="15">
        <v>47021.2</v>
      </c>
      <c r="M97" s="16">
        <v>45624</v>
      </c>
      <c r="N97" s="17">
        <v>45597</v>
      </c>
      <c r="O97" s="18">
        <f t="shared" ca="1" si="44"/>
        <v>46106</v>
      </c>
      <c r="P97" s="18"/>
      <c r="Q97" s="3">
        <f t="shared" ca="1" si="45"/>
        <v>17</v>
      </c>
      <c r="R97" s="3" t="str">
        <f>VLOOKUP(I97, [1]Fleet!$C:$V, 20, FALSE)</f>
        <v>No</v>
      </c>
      <c r="S97" s="3">
        <f>VLOOKUP(I97, [1]Fleet!$C:$Q, 14, FALSE)</f>
        <v>30087</v>
      </c>
      <c r="T97" s="3"/>
      <c r="U97" s="9"/>
      <c r="V97" s="8">
        <f t="shared" ca="1" si="46"/>
        <v>47021.2</v>
      </c>
      <c r="W97" s="3"/>
      <c r="X97" s="40"/>
      <c r="Y97" s="41"/>
      <c r="Z97" s="42">
        <f t="shared" ca="1" si="47"/>
        <v>0</v>
      </c>
      <c r="AA97" s="42">
        <f t="shared" si="48"/>
        <v>720.08730158730157</v>
      </c>
      <c r="AB97" s="42">
        <f t="shared" ca="1" si="32"/>
        <v>12241.484126984127</v>
      </c>
      <c r="AC97" s="42">
        <f t="shared" ca="1" si="33"/>
        <v>-12241.484126984127</v>
      </c>
    </row>
    <row r="98" spans="9:29" x14ac:dyDescent="0.3">
      <c r="I98" s="20" t="s">
        <v>117</v>
      </c>
      <c r="J98" s="9">
        <f t="shared" si="42"/>
        <v>44782.095238095237</v>
      </c>
      <c r="K98" s="9">
        <f t="shared" si="43"/>
        <v>44782.095238095237</v>
      </c>
      <c r="L98" s="15">
        <v>47021.2</v>
      </c>
      <c r="M98" s="16">
        <v>45624</v>
      </c>
      <c r="N98" s="17">
        <v>45597</v>
      </c>
      <c r="O98" s="18">
        <f t="shared" ca="1" si="44"/>
        <v>46106</v>
      </c>
      <c r="P98" s="18"/>
      <c r="Q98" s="3">
        <f t="shared" ca="1" si="45"/>
        <v>17</v>
      </c>
      <c r="R98" s="3" t="str">
        <f>VLOOKUP(I98, [1]Fleet!$C:$V, 20, FALSE)</f>
        <v>No</v>
      </c>
      <c r="S98" s="3">
        <f>VLOOKUP(I98, [1]Fleet!$C:$Q, 14, FALSE)</f>
        <v>34876</v>
      </c>
      <c r="T98" s="3"/>
      <c r="U98" s="9"/>
      <c r="V98" s="8">
        <f t="shared" ca="1" si="46"/>
        <v>47021.2</v>
      </c>
      <c r="W98" s="3"/>
      <c r="X98" s="40"/>
      <c r="Y98" s="41"/>
      <c r="Z98" s="42">
        <f t="shared" ca="1" si="47"/>
        <v>0</v>
      </c>
      <c r="AA98" s="42">
        <f t="shared" si="48"/>
        <v>720.08730158730157</v>
      </c>
      <c r="AB98" s="42">
        <f t="shared" ca="1" si="32"/>
        <v>12241.484126984127</v>
      </c>
      <c r="AC98" s="42">
        <f t="shared" ca="1" si="33"/>
        <v>-12241.484126984127</v>
      </c>
    </row>
    <row r="99" spans="9:29" x14ac:dyDescent="0.3">
      <c r="I99" s="20" t="s">
        <v>118</v>
      </c>
      <c r="J99" s="9">
        <f t="shared" si="42"/>
        <v>44782.095238095237</v>
      </c>
      <c r="K99" s="9">
        <f t="shared" si="43"/>
        <v>44782.095238095237</v>
      </c>
      <c r="L99" s="15">
        <v>47021.2</v>
      </c>
      <c r="M99" s="16">
        <v>45639</v>
      </c>
      <c r="N99" s="17">
        <v>45627</v>
      </c>
      <c r="O99" s="18">
        <f t="shared" ca="1" si="44"/>
        <v>46106</v>
      </c>
      <c r="P99" s="18"/>
      <c r="Q99" s="3">
        <f t="shared" ca="1" si="45"/>
        <v>16</v>
      </c>
      <c r="R99" s="3" t="str">
        <f>VLOOKUP(I99, [1]Fleet!$C:$V, 20, FALSE)</f>
        <v>No</v>
      </c>
      <c r="S99" s="3">
        <f>VLOOKUP(I99, [1]Fleet!$C:$Q, 14, FALSE)</f>
        <v>49845</v>
      </c>
      <c r="T99" s="3"/>
      <c r="U99" s="9"/>
      <c r="V99" s="8">
        <f t="shared" ca="1" si="46"/>
        <v>47021.2</v>
      </c>
      <c r="W99" s="3"/>
      <c r="X99" s="40"/>
      <c r="Y99" s="41"/>
      <c r="Z99" s="42">
        <f t="shared" ca="1" si="47"/>
        <v>0</v>
      </c>
      <c r="AA99" s="42">
        <f t="shared" si="48"/>
        <v>720.08730158730157</v>
      </c>
      <c r="AB99" s="42">
        <f t="shared" ca="1" si="32"/>
        <v>11521.396825396825</v>
      </c>
      <c r="AC99" s="42">
        <f t="shared" ca="1" si="33"/>
        <v>-11521.396825396825</v>
      </c>
    </row>
    <row r="100" spans="9:29" x14ac:dyDescent="0.3">
      <c r="I100" s="20" t="s">
        <v>119</v>
      </c>
      <c r="J100" s="9">
        <f t="shared" si="42"/>
        <v>44782.095238095237</v>
      </c>
      <c r="K100" s="9">
        <f t="shared" si="43"/>
        <v>44782.095238095237</v>
      </c>
      <c r="L100" s="15">
        <v>47021.2</v>
      </c>
      <c r="M100" s="16">
        <v>45639</v>
      </c>
      <c r="N100" s="17">
        <v>45627</v>
      </c>
      <c r="O100" s="18">
        <f t="shared" ca="1" si="44"/>
        <v>46106</v>
      </c>
      <c r="P100" s="18"/>
      <c r="Q100" s="3">
        <f t="shared" ca="1" si="45"/>
        <v>16</v>
      </c>
      <c r="R100" s="3" t="str">
        <f>VLOOKUP(I100, [1]Fleet!$C:$V, 20, FALSE)</f>
        <v>Yes</v>
      </c>
      <c r="S100" s="3">
        <f>VLOOKUP(I100, [1]Fleet!$C:$Q, 14, FALSE)</f>
        <v>33963</v>
      </c>
      <c r="T100" s="3"/>
      <c r="U100" s="9"/>
      <c r="V100" s="8">
        <f t="shared" ca="1" si="46"/>
        <v>47021.2</v>
      </c>
      <c r="W100" s="3"/>
      <c r="X100" s="40"/>
      <c r="Y100" s="41"/>
      <c r="Z100" s="42">
        <f t="shared" ca="1" si="47"/>
        <v>0</v>
      </c>
      <c r="AA100" s="42">
        <f t="shared" si="48"/>
        <v>720.08730158730157</v>
      </c>
      <c r="AB100" s="42">
        <f t="shared" ca="1" si="32"/>
        <v>11521.396825396825</v>
      </c>
      <c r="AC100" s="42">
        <f t="shared" ca="1" si="33"/>
        <v>-11521.396825396825</v>
      </c>
    </row>
    <row r="101" spans="9:29" x14ac:dyDescent="0.3">
      <c r="I101" s="20" t="s">
        <v>120</v>
      </c>
      <c r="J101" s="9">
        <f t="shared" si="42"/>
        <v>44782.095238095237</v>
      </c>
      <c r="K101" s="9">
        <f t="shared" si="43"/>
        <v>44782.095238095237</v>
      </c>
      <c r="L101" s="15">
        <v>47021.2</v>
      </c>
      <c r="M101" s="16">
        <v>45639</v>
      </c>
      <c r="N101" s="17">
        <v>45627</v>
      </c>
      <c r="O101" s="18">
        <f t="shared" ca="1" si="44"/>
        <v>46106</v>
      </c>
      <c r="P101" s="18"/>
      <c r="Q101" s="3">
        <f t="shared" ca="1" si="45"/>
        <v>16</v>
      </c>
      <c r="R101" s="3" t="str">
        <f>VLOOKUP(I101, [1]Fleet!$C:$V, 20, FALSE)</f>
        <v>No</v>
      </c>
      <c r="S101" s="3">
        <f>VLOOKUP(I101, [1]Fleet!$C:$Q, 14, FALSE)</f>
        <v>54280</v>
      </c>
      <c r="T101" s="3"/>
      <c r="U101" s="9"/>
      <c r="V101" s="8">
        <f t="shared" ca="1" si="46"/>
        <v>47021.2</v>
      </c>
      <c r="W101" s="3"/>
      <c r="X101" s="40"/>
      <c r="Y101" s="41"/>
      <c r="Z101" s="42">
        <f t="shared" ca="1" si="47"/>
        <v>0</v>
      </c>
      <c r="AA101" s="42">
        <f t="shared" si="48"/>
        <v>720.08730158730157</v>
      </c>
      <c r="AB101" s="42">
        <f t="shared" ca="1" si="32"/>
        <v>11521.396825396825</v>
      </c>
      <c r="AC101" s="42">
        <f t="shared" ca="1" si="33"/>
        <v>-11521.396825396825</v>
      </c>
    </row>
    <row r="102" spans="9:29" x14ac:dyDescent="0.3">
      <c r="I102" s="20" t="s">
        <v>121</v>
      </c>
      <c r="J102" s="9">
        <f t="shared" si="42"/>
        <v>44782.095238095237</v>
      </c>
      <c r="K102" s="9">
        <f t="shared" si="43"/>
        <v>44782.095238095237</v>
      </c>
      <c r="L102" s="15">
        <v>47021.2</v>
      </c>
      <c r="M102" s="16">
        <v>45639</v>
      </c>
      <c r="N102" s="17">
        <v>45627</v>
      </c>
      <c r="O102" s="18">
        <f t="shared" ca="1" si="44"/>
        <v>46106</v>
      </c>
      <c r="P102" s="18"/>
      <c r="Q102" s="3">
        <f t="shared" ca="1" si="45"/>
        <v>16</v>
      </c>
      <c r="R102" s="3" t="str">
        <f>VLOOKUP(I102, [1]Fleet!$C:$V, 20, FALSE)</f>
        <v>No</v>
      </c>
      <c r="S102" s="3">
        <f>VLOOKUP(I102, [1]Fleet!$C:$Q, 14, FALSE)</f>
        <v>41528</v>
      </c>
      <c r="T102" s="3"/>
      <c r="U102" s="9"/>
      <c r="V102" s="8">
        <f t="shared" ca="1" si="46"/>
        <v>47021.2</v>
      </c>
      <c r="W102" s="3"/>
      <c r="X102" s="40"/>
      <c r="Y102" s="41"/>
      <c r="Z102" s="42">
        <f t="shared" ca="1" si="47"/>
        <v>0</v>
      </c>
      <c r="AA102" s="42">
        <f t="shared" si="48"/>
        <v>720.08730158730157</v>
      </c>
      <c r="AB102" s="42">
        <f t="shared" ca="1" si="32"/>
        <v>11521.396825396825</v>
      </c>
      <c r="AC102" s="42">
        <f t="shared" ca="1" si="33"/>
        <v>-11521.396825396825</v>
      </c>
    </row>
    <row r="103" spans="9:29" x14ac:dyDescent="0.3">
      <c r="I103" s="20" t="s">
        <v>122</v>
      </c>
      <c r="J103" s="9">
        <f t="shared" si="42"/>
        <v>44782.095238095237</v>
      </c>
      <c r="K103" s="9">
        <f t="shared" si="43"/>
        <v>44782.095238095237</v>
      </c>
      <c r="L103" s="15">
        <v>47021.2</v>
      </c>
      <c r="M103" s="16">
        <v>45639</v>
      </c>
      <c r="N103" s="17">
        <v>45627</v>
      </c>
      <c r="O103" s="18">
        <f t="shared" ca="1" si="44"/>
        <v>46106</v>
      </c>
      <c r="P103" s="18"/>
      <c r="Q103" s="3">
        <f t="shared" ca="1" si="45"/>
        <v>16</v>
      </c>
      <c r="R103" s="3" t="str">
        <f>VLOOKUP(I103, [1]Fleet!$C:$V, 20, FALSE)</f>
        <v>No</v>
      </c>
      <c r="S103" s="3">
        <f>VLOOKUP(I103, [1]Fleet!$C:$Q, 14, FALSE)</f>
        <v>40986</v>
      </c>
      <c r="T103" s="3"/>
      <c r="U103" s="9"/>
      <c r="V103" s="8">
        <f t="shared" ca="1" si="46"/>
        <v>47021.2</v>
      </c>
      <c r="W103" s="3"/>
      <c r="X103" s="40"/>
      <c r="Y103" s="41"/>
      <c r="Z103" s="42">
        <f t="shared" ca="1" si="47"/>
        <v>0</v>
      </c>
      <c r="AA103" s="42">
        <f t="shared" si="48"/>
        <v>720.08730158730157</v>
      </c>
      <c r="AB103" s="42">
        <f t="shared" ca="1" si="32"/>
        <v>11521.396825396825</v>
      </c>
      <c r="AC103" s="42">
        <f t="shared" ca="1" si="33"/>
        <v>-11521.396825396825</v>
      </c>
    </row>
    <row r="104" spans="9:29" x14ac:dyDescent="0.3">
      <c r="I104" s="20" t="s">
        <v>123</v>
      </c>
      <c r="J104" s="9">
        <f t="shared" si="42"/>
        <v>44782.095238095237</v>
      </c>
      <c r="K104" s="9">
        <f t="shared" si="43"/>
        <v>44782.095238095237</v>
      </c>
      <c r="L104" s="15">
        <v>47021.2</v>
      </c>
      <c r="M104" s="16">
        <v>45639</v>
      </c>
      <c r="N104" s="17">
        <v>45627</v>
      </c>
      <c r="O104" s="18">
        <f t="shared" ca="1" si="44"/>
        <v>46106</v>
      </c>
      <c r="P104" s="18"/>
      <c r="Q104" s="3">
        <f t="shared" ca="1" si="45"/>
        <v>16</v>
      </c>
      <c r="R104" s="3" t="str">
        <f>VLOOKUP(I104, [1]Fleet!$C:$V, 20, FALSE)</f>
        <v>No</v>
      </c>
      <c r="S104" s="3">
        <f>VLOOKUP(I104, [1]Fleet!$C:$Q, 14, FALSE)</f>
        <v>48386</v>
      </c>
      <c r="T104" s="3"/>
      <c r="U104" s="9"/>
      <c r="V104" s="8">
        <f t="shared" ca="1" si="46"/>
        <v>47021.2</v>
      </c>
      <c r="W104" s="3"/>
      <c r="X104" s="40"/>
      <c r="Y104" s="41"/>
      <c r="Z104" s="42">
        <f t="shared" ca="1" si="47"/>
        <v>0</v>
      </c>
      <c r="AA104" s="42">
        <f t="shared" si="48"/>
        <v>720.08730158730157</v>
      </c>
      <c r="AB104" s="42">
        <f t="shared" ca="1" si="32"/>
        <v>11521.396825396825</v>
      </c>
      <c r="AC104" s="42">
        <f t="shared" ca="1" si="33"/>
        <v>-11521.396825396825</v>
      </c>
    </row>
    <row r="105" spans="9:29" x14ac:dyDescent="0.3"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2"/>
      <c r="AB105" s="42"/>
      <c r="AC105" s="42"/>
    </row>
    <row r="106" spans="9:29" x14ac:dyDescent="0.3"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2"/>
      <c r="AB106" s="42"/>
      <c r="AC106" s="42"/>
    </row>
    <row r="107" spans="9:29" x14ac:dyDescent="0.3">
      <c r="I107" s="21" t="s">
        <v>124</v>
      </c>
      <c r="J107" s="9">
        <f>((L107+G107)/1.05)-G107</f>
        <v>49470.723809523806</v>
      </c>
      <c r="K107" s="9">
        <f>((L107+G107)/1.05)</f>
        <v>49470.723809523806</v>
      </c>
      <c r="L107" s="15">
        <v>51944.26</v>
      </c>
      <c r="M107" s="16">
        <v>45559</v>
      </c>
      <c r="N107" s="17">
        <v>45536</v>
      </c>
      <c r="O107" s="16">
        <v>45708</v>
      </c>
      <c r="P107" s="17">
        <v>45689</v>
      </c>
      <c r="Q107" s="3">
        <f>(YEAR(O107) - YEAR(M107)) * 12 + MONTH(O107) - MONTH(M107) + 1</f>
        <v>6</v>
      </c>
      <c r="R107" s="3" t="str">
        <f>VLOOKUP(I107, [1]Fleet!$C:$V, 20, FALSE)</f>
        <v>No</v>
      </c>
      <c r="S107" s="3">
        <f>VLOOKUP(I107, [1]Fleet!$C:$Q, 14, FALSE)</f>
        <v>38</v>
      </c>
      <c r="T107" s="22">
        <v>45748</v>
      </c>
      <c r="U107" s="9">
        <v>52763</v>
      </c>
      <c r="V107" s="8">
        <f>L107-(C107*Q107)</f>
        <v>51944.26</v>
      </c>
      <c r="W107" s="8">
        <f>U107-V107</f>
        <v>818.73999999999796</v>
      </c>
      <c r="X107" s="41"/>
      <c r="Y107" s="41"/>
      <c r="Z107" s="42">
        <f>Q107*C107</f>
        <v>0</v>
      </c>
      <c r="AA107" s="42">
        <f>(J107-$F$52)/24</f>
        <v>1102.9468253968253</v>
      </c>
      <c r="AB107" s="42">
        <f t="shared" si="32"/>
        <v>6617.6809523809516</v>
      </c>
      <c r="AC107" s="42">
        <f t="shared" si="33"/>
        <v>-6617.6809523809516</v>
      </c>
    </row>
    <row r="108" spans="9:29" x14ac:dyDescent="0.3">
      <c r="I108" s="20"/>
      <c r="J108" s="9"/>
      <c r="K108" s="9"/>
      <c r="L108" s="9"/>
      <c r="M108" s="16"/>
      <c r="N108" s="16"/>
      <c r="O108" s="16"/>
      <c r="P108" s="16"/>
      <c r="Q108" s="3"/>
      <c r="R108" s="3"/>
      <c r="S108" s="3"/>
      <c r="T108" s="3"/>
      <c r="U108" s="9"/>
      <c r="V108" s="3"/>
      <c r="W108" s="3"/>
      <c r="X108" s="41"/>
      <c r="Y108" s="41"/>
      <c r="Z108" s="41"/>
      <c r="AA108" s="42"/>
      <c r="AB108" s="42"/>
      <c r="AC108" s="42"/>
    </row>
    <row r="109" spans="9:29" x14ac:dyDescent="0.3">
      <c r="I109" s="20" t="s">
        <v>125</v>
      </c>
      <c r="J109" s="9">
        <f>((L109+G109)/1.05)-G109</f>
        <v>49453.095238095237</v>
      </c>
      <c r="K109" s="9">
        <f>((L109+G109)/1.05)</f>
        <v>49453.095238095237</v>
      </c>
      <c r="L109" s="15">
        <v>51925.75</v>
      </c>
      <c r="M109" s="16">
        <v>45646</v>
      </c>
      <c r="N109" s="17">
        <v>45627</v>
      </c>
      <c r="O109" s="18">
        <f ca="1">TODAY()</f>
        <v>46106</v>
      </c>
      <c r="P109" s="18"/>
      <c r="Q109" s="3">
        <f ca="1">(YEAR(O109) - YEAR(M109)) * 12 + MONTH(O109) - MONTH(M109) + 1</f>
        <v>16</v>
      </c>
      <c r="R109" s="3" t="str">
        <f>VLOOKUP(I109, [1]Fleet!$C:$V, 20, FALSE)</f>
        <v>No</v>
      </c>
      <c r="S109" s="3">
        <f>VLOOKUP(I109, [1]Fleet!$C:$Q, 14, FALSE)</f>
        <v>1250</v>
      </c>
      <c r="T109" s="3"/>
      <c r="U109" s="9"/>
      <c r="V109" s="8">
        <f ca="1">L109-(C109*Q109)</f>
        <v>51925.75</v>
      </c>
      <c r="W109" s="3"/>
      <c r="X109" s="41"/>
      <c r="Y109" s="41"/>
      <c r="Z109" s="42">
        <f ca="1">Q109*C109</f>
        <v>0</v>
      </c>
      <c r="AA109" s="42">
        <f>(J109-$F$54)/24</f>
        <v>2060.5456349206347</v>
      </c>
      <c r="AB109" s="42">
        <f t="shared" ca="1" si="32"/>
        <v>32968.730158730155</v>
      </c>
      <c r="AC109" s="42">
        <f t="shared" ca="1" si="33"/>
        <v>-32968.730158730155</v>
      </c>
    </row>
    <row r="110" spans="9:29" x14ac:dyDescent="0.3">
      <c r="I110" s="20" t="s">
        <v>126</v>
      </c>
      <c r="J110" s="9">
        <f>((L110+G110)/1.05)-G110</f>
        <v>49453.095238095237</v>
      </c>
      <c r="K110" s="9">
        <f>((L110+G110)/1.05)</f>
        <v>49453.095238095237</v>
      </c>
      <c r="L110" s="15">
        <v>51925.75</v>
      </c>
      <c r="M110" s="16">
        <v>45646</v>
      </c>
      <c r="N110" s="17">
        <v>45627</v>
      </c>
      <c r="O110" s="18">
        <f ca="1">TODAY()</f>
        <v>46106</v>
      </c>
      <c r="P110" s="18"/>
      <c r="Q110" s="3">
        <f ca="1">(YEAR(O110) - YEAR(M110)) * 12 + MONTH(O110) - MONTH(M110) + 1</f>
        <v>16</v>
      </c>
      <c r="R110" s="3" t="str">
        <f>VLOOKUP(I110, [1]Fleet!$C:$V, 20, FALSE)</f>
        <v>No</v>
      </c>
      <c r="S110" s="3">
        <f>VLOOKUP(I110, [1]Fleet!$C:$Q, 14, FALSE)</f>
        <v>12100</v>
      </c>
      <c r="T110" s="3"/>
      <c r="U110" s="9"/>
      <c r="V110" s="8">
        <f ca="1">L110-(C110*Q110)</f>
        <v>51925.75</v>
      </c>
      <c r="W110" s="3"/>
      <c r="X110" s="41"/>
      <c r="Y110" s="41"/>
      <c r="Z110" s="42">
        <f ca="1">Q110*C110</f>
        <v>0</v>
      </c>
      <c r="AA110" s="42">
        <f t="shared" ref="AA110:AA113" si="49">(J110-$F$54)/24</f>
        <v>2060.5456349206347</v>
      </c>
      <c r="AB110" s="42">
        <f t="shared" ca="1" si="32"/>
        <v>32968.730158730155</v>
      </c>
      <c r="AC110" s="42">
        <f t="shared" ca="1" si="33"/>
        <v>-32968.730158730155</v>
      </c>
    </row>
    <row r="111" spans="9:29" x14ac:dyDescent="0.3">
      <c r="I111" s="20" t="s">
        <v>127</v>
      </c>
      <c r="J111" s="9">
        <f>((L111+G111)/1.05)-G111</f>
        <v>49453.095238095237</v>
      </c>
      <c r="K111" s="9">
        <f>((L111+G111)/1.05)</f>
        <v>49453.095238095237</v>
      </c>
      <c r="L111" s="15">
        <v>51925.75</v>
      </c>
      <c r="M111" s="16">
        <v>45644</v>
      </c>
      <c r="N111" s="17">
        <v>45627</v>
      </c>
      <c r="O111" s="18">
        <f ca="1">TODAY()</f>
        <v>46106</v>
      </c>
      <c r="P111" s="18"/>
      <c r="Q111" s="3">
        <f ca="1">(YEAR(O111) - YEAR(M111)) * 12 + MONTH(O111) - MONTH(M111) + 1</f>
        <v>16</v>
      </c>
      <c r="R111" s="3" t="str">
        <f>VLOOKUP(I111, [1]Fleet!$C:$V, 20, FALSE)</f>
        <v>No</v>
      </c>
      <c r="S111" s="3">
        <f>VLOOKUP(I111, [1]Fleet!$C:$Q, 14, FALSE)</f>
        <v>13194</v>
      </c>
      <c r="T111" s="3"/>
      <c r="U111" s="9"/>
      <c r="V111" s="8">
        <f ca="1">L111-(C111*Q111)</f>
        <v>51925.75</v>
      </c>
      <c r="W111" s="3"/>
      <c r="X111" s="41"/>
      <c r="Y111" s="41"/>
      <c r="Z111" s="42">
        <f ca="1">Q111*C111</f>
        <v>0</v>
      </c>
      <c r="AA111" s="42">
        <f t="shared" si="49"/>
        <v>2060.5456349206347</v>
      </c>
      <c r="AB111" s="42">
        <f t="shared" ca="1" si="32"/>
        <v>32968.730158730155</v>
      </c>
      <c r="AC111" s="42">
        <f t="shared" ca="1" si="33"/>
        <v>-32968.730158730155</v>
      </c>
    </row>
    <row r="112" spans="9:29" x14ac:dyDescent="0.3">
      <c r="I112" s="3" t="s">
        <v>128</v>
      </c>
      <c r="J112" s="9">
        <f>((L112+G112)/1.05)-G112</f>
        <v>49453.095238095237</v>
      </c>
      <c r="K112" s="9">
        <f>((L112+G112)/1.05)</f>
        <v>49453.095238095237</v>
      </c>
      <c r="L112" s="15">
        <v>51925.75</v>
      </c>
      <c r="M112" s="16">
        <v>45644</v>
      </c>
      <c r="N112" s="17">
        <v>45627</v>
      </c>
      <c r="O112" s="18">
        <f ca="1">TODAY()</f>
        <v>46106</v>
      </c>
      <c r="P112" s="18"/>
      <c r="Q112" s="3">
        <f ca="1">(YEAR(O112) - YEAR(M112)) * 12 + MONTH(O112) - MONTH(M112) + 1</f>
        <v>16</v>
      </c>
      <c r="R112" s="3" t="str">
        <f>VLOOKUP(I112, [1]Fleet!$C:$V, 20, FALSE)</f>
        <v>No</v>
      </c>
      <c r="S112" s="3">
        <f>VLOOKUP(I112, [1]Fleet!$C:$Q, 14, FALSE)</f>
        <v>5670</v>
      </c>
      <c r="T112" s="3"/>
      <c r="U112" s="9"/>
      <c r="V112" s="8">
        <f ca="1">L112-(C112*Q112)</f>
        <v>51925.75</v>
      </c>
      <c r="W112" s="3"/>
      <c r="X112" s="41"/>
      <c r="Y112" s="41"/>
      <c r="Z112" s="42">
        <f ca="1">Q112*C112</f>
        <v>0</v>
      </c>
      <c r="AA112" s="42">
        <f t="shared" si="49"/>
        <v>2060.5456349206347</v>
      </c>
      <c r="AB112" s="42">
        <f t="shared" ca="1" si="32"/>
        <v>32968.730158730155</v>
      </c>
      <c r="AC112" s="42">
        <f t="shared" ca="1" si="33"/>
        <v>-32968.730158730155</v>
      </c>
    </row>
    <row r="113" spans="9:29" x14ac:dyDescent="0.3">
      <c r="I113" s="3" t="s">
        <v>129</v>
      </c>
      <c r="J113" s="9">
        <f>((L113+G113)/1.05)-G113</f>
        <v>49453.095238095237</v>
      </c>
      <c r="K113" s="9">
        <f>((L113+G113)/1.05)</f>
        <v>49453.095238095237</v>
      </c>
      <c r="L113" s="15">
        <v>51925.75</v>
      </c>
      <c r="M113" s="16">
        <v>45646</v>
      </c>
      <c r="N113" s="17">
        <v>45627</v>
      </c>
      <c r="O113" s="18">
        <f ca="1">TODAY()</f>
        <v>46106</v>
      </c>
      <c r="P113" s="18"/>
      <c r="Q113" s="3">
        <f ca="1">(YEAR(O113) - YEAR(M113)) * 12 + MONTH(O113) - MONTH(M113) + 1</f>
        <v>16</v>
      </c>
      <c r="R113" s="3" t="str">
        <f>VLOOKUP(I113, [1]Fleet!$C:$V, 20, FALSE)</f>
        <v>No</v>
      </c>
      <c r="S113" s="3">
        <f>VLOOKUP(I113, [1]Fleet!$C:$Q, 14, FALSE)</f>
        <v>11241</v>
      </c>
      <c r="T113" s="3"/>
      <c r="U113" s="9"/>
      <c r="V113" s="8">
        <f ca="1">L113-(C113*Q113)</f>
        <v>51925.75</v>
      </c>
      <c r="W113" s="3"/>
      <c r="X113" s="41"/>
      <c r="Y113" s="41"/>
      <c r="Z113" s="42">
        <f ca="1">Q113*C113</f>
        <v>0</v>
      </c>
      <c r="AA113" s="42">
        <f t="shared" si="49"/>
        <v>2060.5456349206347</v>
      </c>
      <c r="AB113" s="42">
        <f t="shared" ca="1" si="32"/>
        <v>32968.730158730155</v>
      </c>
      <c r="AC113" s="42">
        <f t="shared" ca="1" si="33"/>
        <v>-32968.730158730155</v>
      </c>
    </row>
    <row r="114" spans="9:29" x14ac:dyDescent="0.3"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2"/>
      <c r="AB114" s="42"/>
      <c r="AC114" s="42"/>
    </row>
    <row r="115" spans="9:29" x14ac:dyDescent="0.3">
      <c r="I115" s="3"/>
      <c r="J115" s="9"/>
      <c r="K115" s="9"/>
      <c r="L115" s="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41"/>
      <c r="Y115" s="41"/>
      <c r="Z115" s="41"/>
      <c r="AA115" s="42"/>
      <c r="AB115" s="42"/>
      <c r="AC115" s="42"/>
    </row>
    <row r="116" spans="9:29" x14ac:dyDescent="0.3">
      <c r="I116" s="21" t="s">
        <v>130</v>
      </c>
      <c r="J116" s="9">
        <f>((L116+G116)/1.05)-G116</f>
        <v>53847.428571428572</v>
      </c>
      <c r="K116" s="9">
        <f>((L116+G116)/1.05)</f>
        <v>53847.428571428572</v>
      </c>
      <c r="L116" s="15">
        <v>56539.8</v>
      </c>
      <c r="M116" s="16">
        <v>45379</v>
      </c>
      <c r="N116" s="17">
        <v>45352</v>
      </c>
      <c r="O116" s="16">
        <v>45567</v>
      </c>
      <c r="P116" s="17">
        <v>45566</v>
      </c>
      <c r="Q116" s="3">
        <f>(YEAR(O116) - YEAR(M116)) * 12 + MONTH(O116) - MONTH(M116) + 1</f>
        <v>8</v>
      </c>
      <c r="R116" s="3" t="str">
        <f>VLOOKUP(I116, [1]Fleet!$C:$V, 20, FALSE)</f>
        <v>Yes</v>
      </c>
      <c r="S116" s="3">
        <f>VLOOKUP(I116, [1]Fleet!$C:$Q, 14, FALSE)</f>
        <v>13504</v>
      </c>
      <c r="T116" s="22">
        <v>45627</v>
      </c>
      <c r="U116" s="9">
        <v>45797.68</v>
      </c>
      <c r="V116" s="8">
        <f>L116-(C116*Q116)</f>
        <v>56539.8</v>
      </c>
      <c r="W116" s="8">
        <f>U116-V116</f>
        <v>-10742.120000000003</v>
      </c>
      <c r="X116" s="41"/>
      <c r="Y116" s="41"/>
      <c r="Z116" s="42">
        <f>Q116*C116</f>
        <v>0</v>
      </c>
      <c r="AA116" s="42">
        <f>(J116-$F$61)/24</f>
        <v>2243.6428571428573</v>
      </c>
      <c r="AB116" s="42">
        <f t="shared" si="32"/>
        <v>17949.142857142859</v>
      </c>
      <c r="AC116" s="42">
        <f t="shared" si="33"/>
        <v>-17949.142857142859</v>
      </c>
    </row>
    <row r="117" spans="9:29" x14ac:dyDescent="0.3">
      <c r="I117" s="21" t="s">
        <v>131</v>
      </c>
      <c r="J117" s="9">
        <f>((L117+G117)/1.05)-G117</f>
        <v>53847.428571428572</v>
      </c>
      <c r="K117" s="9">
        <f>((L117+G117)/1.05)</f>
        <v>53847.428571428572</v>
      </c>
      <c r="L117" s="15">
        <v>56539.8</v>
      </c>
      <c r="M117" s="16">
        <v>45376</v>
      </c>
      <c r="N117" s="17">
        <v>45352</v>
      </c>
      <c r="O117" s="16">
        <v>45596</v>
      </c>
      <c r="P117" s="17">
        <v>45566</v>
      </c>
      <c r="Q117" s="3">
        <f>(YEAR(O117) - YEAR(M117)) * 12 + MONTH(O117) - MONTH(M117) + 1</f>
        <v>8</v>
      </c>
      <c r="R117" s="3" t="str">
        <f>VLOOKUP(I117, [1]Fleet!$C:$V, 20, FALSE)</f>
        <v>No</v>
      </c>
      <c r="S117" s="3">
        <f>VLOOKUP(I117, [1]Fleet!$C:$Q, 14, FALSE)</f>
        <v>20576</v>
      </c>
      <c r="T117" s="22">
        <v>45627</v>
      </c>
      <c r="U117" s="9">
        <v>46141.599999999999</v>
      </c>
      <c r="V117" s="8">
        <f>L117-(C117*Q117)</f>
        <v>56539.8</v>
      </c>
      <c r="W117" s="8">
        <f>U117-V117</f>
        <v>-10398.200000000004</v>
      </c>
      <c r="X117" s="41"/>
      <c r="Y117" s="41"/>
      <c r="Z117" s="42">
        <f>Q117*C117</f>
        <v>0</v>
      </c>
      <c r="AA117" s="42">
        <f>(J117-$F$61)/24</f>
        <v>2243.6428571428573</v>
      </c>
      <c r="AB117" s="42">
        <f t="shared" si="32"/>
        <v>17949.142857142859</v>
      </c>
      <c r="AC117" s="42">
        <f t="shared" si="33"/>
        <v>-17949.142857142859</v>
      </c>
    </row>
  </sheetData>
  <mergeCells count="1">
    <mergeCell ref="V55:W55"/>
  </mergeCells>
  <conditionalFormatting sqref="G5">
    <cfRule type="containsText" dxfId="13" priority="9" operator="containsText" text="TCCI">
      <formula>NOT(ISERROR(SEARCH("TCCI",G5)))</formula>
    </cfRule>
    <cfRule type="cellIs" dxfId="12" priority="10" operator="equal">
      <formula>"TCI"</formula>
    </cfRule>
  </conditionalFormatting>
  <conditionalFormatting sqref="G7">
    <cfRule type="containsText" dxfId="11" priority="11" operator="containsText" text="TCCI">
      <formula>NOT(ISERROR(SEARCH("TCCI",G7)))</formula>
    </cfRule>
    <cfRule type="cellIs" dxfId="10" priority="12" operator="equal">
      <formula>"TCI"</formula>
    </cfRule>
  </conditionalFormatting>
  <conditionalFormatting sqref="G10:G13">
    <cfRule type="containsText" dxfId="9" priority="13" operator="containsText" text="TCCI">
      <formula>NOT(ISERROR(SEARCH("TCCI",G10)))</formula>
    </cfRule>
    <cfRule type="cellIs" dxfId="8" priority="14" operator="equal">
      <formula>"TCI"</formula>
    </cfRule>
  </conditionalFormatting>
  <conditionalFormatting sqref="G15:G20">
    <cfRule type="containsText" dxfId="7" priority="7" operator="containsText" text="TCCI">
      <formula>NOT(ISERROR(SEARCH("TCCI",G15)))</formula>
    </cfRule>
    <cfRule type="cellIs" dxfId="6" priority="8" operator="equal">
      <formula>"TCI"</formula>
    </cfRule>
  </conditionalFormatting>
  <conditionalFormatting sqref="G22:G26">
    <cfRule type="containsText" dxfId="5" priority="5" operator="containsText" text="TCCI">
      <formula>NOT(ISERROR(SEARCH("TCCI",G22)))</formula>
    </cfRule>
    <cfRule type="cellIs" dxfId="4" priority="6" operator="equal">
      <formula>"TCI"</formula>
    </cfRule>
  </conditionalFormatting>
  <conditionalFormatting sqref="G28:G31">
    <cfRule type="containsText" dxfId="3" priority="3" operator="containsText" text="TCCI">
      <formula>NOT(ISERROR(SEARCH("TCCI",G28)))</formula>
    </cfRule>
    <cfRule type="cellIs" dxfId="2" priority="4" operator="equal">
      <formula>"TCI"</formula>
    </cfRule>
  </conditionalFormatting>
  <conditionalFormatting sqref="G34:G40 G42:G52">
    <cfRule type="containsText" dxfId="1" priority="1" operator="containsText" text="TCCI">
      <formula>NOT(ISERROR(SEARCH("TCCI",G34)))</formula>
    </cfRule>
    <cfRule type="cellIs" dxfId="0" priority="2" operator="equal">
      <formula>"TCI"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B61F-CFD3-4A89-8EA8-4D44356CE91B}">
  <dimension ref="A1:Q84"/>
  <sheetViews>
    <sheetView tabSelected="1" topLeftCell="F1" workbookViewId="0">
      <selection activeCell="M1" sqref="M1"/>
    </sheetView>
  </sheetViews>
  <sheetFormatPr defaultRowHeight="14.4" x14ac:dyDescent="0.3"/>
  <cols>
    <col min="1" max="1" width="11.77734375" customWidth="1"/>
    <col min="2" max="2" width="19.109375" bestFit="1" customWidth="1"/>
    <col min="3" max="3" width="14.88671875" customWidth="1"/>
    <col min="7" max="7" width="14.6640625" bestFit="1" customWidth="1"/>
    <col min="8" max="8" width="14.77734375" customWidth="1"/>
    <col min="9" max="9" width="25.77734375" bestFit="1" customWidth="1"/>
    <col min="10" max="10" width="12.33203125" customWidth="1"/>
    <col min="11" max="11" width="18.77734375" style="45" bestFit="1" customWidth="1"/>
    <col min="12" max="12" width="16.6640625" customWidth="1"/>
    <col min="13" max="14" width="14.88671875" customWidth="1"/>
    <col min="15" max="15" width="16.6640625" customWidth="1"/>
    <col min="16" max="16" width="14.6640625" customWidth="1"/>
    <col min="17" max="17" width="12.44140625" customWidth="1"/>
  </cols>
  <sheetData>
    <row r="1" spans="1:17" x14ac:dyDescent="0.3">
      <c r="A1" t="s">
        <v>132</v>
      </c>
      <c r="B1" t="s">
        <v>7</v>
      </c>
      <c r="C1" t="s">
        <v>133</v>
      </c>
      <c r="D1" t="s">
        <v>2</v>
      </c>
      <c r="E1" t="s">
        <v>134</v>
      </c>
      <c r="F1" t="s">
        <v>3</v>
      </c>
      <c r="G1" t="s">
        <v>135</v>
      </c>
      <c r="H1" t="s">
        <v>136</v>
      </c>
      <c r="I1" t="s">
        <v>137</v>
      </c>
      <c r="J1" t="s">
        <v>138</v>
      </c>
      <c r="K1" s="45" t="s">
        <v>242</v>
      </c>
      <c r="L1" t="s">
        <v>139</v>
      </c>
      <c r="M1" t="s">
        <v>140</v>
      </c>
      <c r="N1" t="s">
        <v>243</v>
      </c>
      <c r="O1" t="s">
        <v>141</v>
      </c>
      <c r="P1" t="s">
        <v>142</v>
      </c>
      <c r="Q1" t="s">
        <v>143</v>
      </c>
    </row>
    <row r="2" spans="1:17" x14ac:dyDescent="0.3">
      <c r="A2">
        <v>44</v>
      </c>
      <c r="B2" t="s">
        <v>94</v>
      </c>
      <c r="C2" t="s">
        <v>144</v>
      </c>
      <c r="D2" t="s">
        <v>47</v>
      </c>
      <c r="E2">
        <v>2023</v>
      </c>
      <c r="F2" t="s">
        <v>34</v>
      </c>
      <c r="G2" t="s">
        <v>145</v>
      </c>
      <c r="H2" s="1">
        <v>45448</v>
      </c>
      <c r="I2" t="s">
        <v>146</v>
      </c>
      <c r="J2" t="s">
        <v>147</v>
      </c>
      <c r="K2" t="e">
        <v>#N/A</v>
      </c>
      <c r="L2" s="2">
        <v>45754.584756944445</v>
      </c>
      <c r="M2" t="s">
        <v>148</v>
      </c>
      <c r="N2" t="e">
        <v>#N/A</v>
      </c>
    </row>
    <row r="3" spans="1:17" x14ac:dyDescent="0.3">
      <c r="A3">
        <v>45</v>
      </c>
      <c r="B3" t="s">
        <v>130</v>
      </c>
      <c r="C3" t="s">
        <v>149</v>
      </c>
      <c r="D3" t="s">
        <v>47</v>
      </c>
      <c r="E3">
        <v>2024</v>
      </c>
      <c r="F3" t="s">
        <v>34</v>
      </c>
      <c r="G3" t="s">
        <v>150</v>
      </c>
      <c r="H3" s="1">
        <v>45448</v>
      </c>
      <c r="I3" t="s">
        <v>146</v>
      </c>
      <c r="J3" t="s">
        <v>147</v>
      </c>
      <c r="K3" t="e">
        <v>#N/A</v>
      </c>
      <c r="L3" s="2">
        <v>45533.687118055554</v>
      </c>
      <c r="M3" t="s">
        <v>151</v>
      </c>
      <c r="N3" t="e">
        <v>#N/A</v>
      </c>
    </row>
    <row r="4" spans="1:17" x14ac:dyDescent="0.3">
      <c r="A4">
        <v>46</v>
      </c>
      <c r="B4" t="s">
        <v>95</v>
      </c>
      <c r="C4" t="s">
        <v>152</v>
      </c>
      <c r="D4" t="s">
        <v>47</v>
      </c>
      <c r="E4">
        <v>2023</v>
      </c>
      <c r="F4" t="s">
        <v>34</v>
      </c>
      <c r="G4" t="s">
        <v>150</v>
      </c>
      <c r="H4" s="1">
        <v>45448</v>
      </c>
      <c r="I4" t="s">
        <v>153</v>
      </c>
      <c r="J4" t="s">
        <v>147</v>
      </c>
      <c r="K4" t="e">
        <v>#N/A</v>
      </c>
      <c r="L4" s="2">
        <v>45622.612476851849</v>
      </c>
      <c r="M4" t="s">
        <v>148</v>
      </c>
      <c r="N4" t="e">
        <v>#N/A</v>
      </c>
    </row>
    <row r="5" spans="1:17" x14ac:dyDescent="0.3">
      <c r="A5">
        <v>47</v>
      </c>
      <c r="B5" t="s">
        <v>96</v>
      </c>
      <c r="C5" t="s">
        <v>154</v>
      </c>
      <c r="D5" t="s">
        <v>47</v>
      </c>
      <c r="E5">
        <v>2023</v>
      </c>
      <c r="F5" t="s">
        <v>34</v>
      </c>
      <c r="G5" t="s">
        <v>155</v>
      </c>
      <c r="H5" s="1">
        <v>45448</v>
      </c>
      <c r="I5" t="s">
        <v>156</v>
      </c>
      <c r="J5" t="s">
        <v>147</v>
      </c>
      <c r="K5" t="e">
        <v>#N/A</v>
      </c>
      <c r="L5" s="2">
        <v>45622.61277777778</v>
      </c>
      <c r="M5" t="s">
        <v>148</v>
      </c>
      <c r="N5" t="e">
        <v>#N/A</v>
      </c>
    </row>
    <row r="6" spans="1:17" x14ac:dyDescent="0.3">
      <c r="A6">
        <v>48</v>
      </c>
      <c r="B6" t="s">
        <v>131</v>
      </c>
      <c r="C6" t="s">
        <v>157</v>
      </c>
      <c r="D6" t="s">
        <v>47</v>
      </c>
      <c r="E6">
        <v>2024</v>
      </c>
      <c r="F6" t="s">
        <v>34</v>
      </c>
      <c r="G6" t="s">
        <v>150</v>
      </c>
      <c r="H6" s="1">
        <v>45448</v>
      </c>
      <c r="I6" t="s">
        <v>156</v>
      </c>
      <c r="J6" t="s">
        <v>147</v>
      </c>
      <c r="K6" t="e">
        <v>#N/A</v>
      </c>
      <c r="L6" s="2">
        <v>45609.695243055554</v>
      </c>
      <c r="M6" t="s">
        <v>151</v>
      </c>
      <c r="N6" t="e">
        <v>#N/A</v>
      </c>
    </row>
    <row r="7" spans="1:17" x14ac:dyDescent="0.3">
      <c r="A7">
        <v>49</v>
      </c>
      <c r="B7" t="s">
        <v>56</v>
      </c>
      <c r="C7" t="s">
        <v>158</v>
      </c>
      <c r="D7" t="s">
        <v>47</v>
      </c>
      <c r="E7">
        <v>2024</v>
      </c>
      <c r="F7" t="s">
        <v>34</v>
      </c>
      <c r="G7" t="s">
        <v>150</v>
      </c>
      <c r="H7" s="1">
        <v>45448</v>
      </c>
      <c r="I7" t="s">
        <v>156</v>
      </c>
      <c r="J7" t="s">
        <v>32</v>
      </c>
      <c r="K7" t="e">
        <v>#N/A</v>
      </c>
      <c r="L7" s="2">
        <v>45523.506550925929</v>
      </c>
      <c r="M7" t="s">
        <v>151</v>
      </c>
      <c r="N7" t="e">
        <v>#N/A</v>
      </c>
    </row>
    <row r="8" spans="1:17" x14ac:dyDescent="0.3">
      <c r="A8">
        <v>50</v>
      </c>
      <c r="B8" t="s">
        <v>53</v>
      </c>
      <c r="C8" t="s">
        <v>159</v>
      </c>
      <c r="D8" t="s">
        <v>47</v>
      </c>
      <c r="E8">
        <v>2024</v>
      </c>
      <c r="F8" t="s">
        <v>34</v>
      </c>
      <c r="G8" t="s">
        <v>150</v>
      </c>
      <c r="H8" s="1">
        <v>45448</v>
      </c>
      <c r="I8" t="s">
        <v>153</v>
      </c>
      <c r="J8" t="s">
        <v>32</v>
      </c>
      <c r="K8" t="e">
        <v>#N/A</v>
      </c>
      <c r="L8" s="2">
        <v>45499.951006944444</v>
      </c>
      <c r="M8" t="s">
        <v>151</v>
      </c>
      <c r="N8" t="e">
        <v>#N/A</v>
      </c>
    </row>
    <row r="9" spans="1:17" x14ac:dyDescent="0.3">
      <c r="A9">
        <v>51</v>
      </c>
      <c r="B9" t="s">
        <v>57</v>
      </c>
      <c r="C9" t="s">
        <v>160</v>
      </c>
      <c r="D9" t="s">
        <v>47</v>
      </c>
      <c r="E9">
        <v>2024</v>
      </c>
      <c r="F9" t="s">
        <v>34</v>
      </c>
      <c r="G9" t="s">
        <v>150</v>
      </c>
      <c r="H9" s="1">
        <v>45448</v>
      </c>
      <c r="I9" t="s">
        <v>153</v>
      </c>
      <c r="J9" t="s">
        <v>32</v>
      </c>
      <c r="K9" t="e">
        <v>#N/A</v>
      </c>
      <c r="L9" s="2">
        <v>45520.665370370371</v>
      </c>
      <c r="M9" t="s">
        <v>151</v>
      </c>
      <c r="N9" t="e">
        <v>#N/A</v>
      </c>
    </row>
    <row r="10" spans="1:17" x14ac:dyDescent="0.3">
      <c r="A10">
        <v>52</v>
      </c>
      <c r="B10" t="s">
        <v>54</v>
      </c>
      <c r="C10" t="s">
        <v>161</v>
      </c>
      <c r="D10" t="s">
        <v>47</v>
      </c>
      <c r="E10">
        <v>2024</v>
      </c>
      <c r="F10" t="s">
        <v>34</v>
      </c>
      <c r="G10" t="s">
        <v>150</v>
      </c>
      <c r="H10" s="1">
        <v>45448</v>
      </c>
      <c r="I10" t="s">
        <v>153</v>
      </c>
      <c r="J10" t="s">
        <v>32</v>
      </c>
      <c r="K10" t="e">
        <v>#N/A</v>
      </c>
      <c r="L10" s="2">
        <v>45533.119247685187</v>
      </c>
      <c r="M10" t="s">
        <v>151</v>
      </c>
      <c r="N10" t="e">
        <v>#N/A</v>
      </c>
    </row>
    <row r="11" spans="1:17" x14ac:dyDescent="0.3">
      <c r="A11">
        <v>53</v>
      </c>
      <c r="B11" t="s">
        <v>55</v>
      </c>
      <c r="C11" t="s">
        <v>162</v>
      </c>
      <c r="D11" t="s">
        <v>47</v>
      </c>
      <c r="E11">
        <v>2024</v>
      </c>
      <c r="F11" t="s">
        <v>34</v>
      </c>
      <c r="G11" t="s">
        <v>150</v>
      </c>
      <c r="H11" s="1">
        <v>45453</v>
      </c>
      <c r="I11" t="s">
        <v>146</v>
      </c>
      <c r="J11" t="s">
        <v>32</v>
      </c>
      <c r="K11" t="e">
        <v>#N/A</v>
      </c>
      <c r="L11" s="2">
        <v>45592.504976851851</v>
      </c>
      <c r="M11" t="s">
        <v>151</v>
      </c>
      <c r="N11" t="e">
        <v>#N/A</v>
      </c>
    </row>
    <row r="12" spans="1:17" x14ac:dyDescent="0.3">
      <c r="A12">
        <v>62</v>
      </c>
      <c r="B12" t="s">
        <v>124</v>
      </c>
      <c r="C12" t="s">
        <v>149</v>
      </c>
      <c r="D12" t="s">
        <v>47</v>
      </c>
      <c r="E12">
        <v>2024</v>
      </c>
      <c r="F12" t="s">
        <v>34</v>
      </c>
      <c r="G12" t="s">
        <v>150</v>
      </c>
      <c r="H12" s="1">
        <v>45636</v>
      </c>
      <c r="I12" t="s">
        <v>146</v>
      </c>
      <c r="J12" t="s">
        <v>147</v>
      </c>
      <c r="K12" t="e">
        <v>#N/A</v>
      </c>
      <c r="M12" t="s">
        <v>151</v>
      </c>
      <c r="N12" t="e">
        <v>#N/A</v>
      </c>
    </row>
    <row r="13" spans="1:17" x14ac:dyDescent="0.3">
      <c r="A13">
        <v>63</v>
      </c>
      <c r="B13" t="s">
        <v>50</v>
      </c>
      <c r="C13" t="s">
        <v>163</v>
      </c>
      <c r="D13" t="s">
        <v>47</v>
      </c>
      <c r="E13">
        <v>2024</v>
      </c>
      <c r="F13" t="s">
        <v>34</v>
      </c>
      <c r="G13" t="s">
        <v>150</v>
      </c>
      <c r="H13" s="1">
        <v>45622</v>
      </c>
      <c r="I13" t="s">
        <v>153</v>
      </c>
      <c r="J13" t="s">
        <v>32</v>
      </c>
      <c r="K13" t="e">
        <v>#N/A</v>
      </c>
      <c r="M13" t="s">
        <v>151</v>
      </c>
      <c r="N13" t="e">
        <v>#N/A</v>
      </c>
    </row>
    <row r="14" spans="1:17" x14ac:dyDescent="0.3">
      <c r="A14">
        <v>64</v>
      </c>
      <c r="B14" t="s">
        <v>51</v>
      </c>
      <c r="C14" t="s">
        <v>164</v>
      </c>
      <c r="D14" t="s">
        <v>47</v>
      </c>
      <c r="E14">
        <v>2024</v>
      </c>
      <c r="F14" t="s">
        <v>34</v>
      </c>
      <c r="G14" t="s">
        <v>150</v>
      </c>
      <c r="H14" s="1">
        <v>45622</v>
      </c>
      <c r="I14" t="s">
        <v>153</v>
      </c>
      <c r="J14" t="s">
        <v>32</v>
      </c>
      <c r="K14" t="e">
        <v>#N/A</v>
      </c>
      <c r="L14" s="2">
        <v>45722.853888888887</v>
      </c>
      <c r="M14" t="s">
        <v>151</v>
      </c>
      <c r="N14" t="e">
        <v>#N/A</v>
      </c>
    </row>
    <row r="15" spans="1:17" x14ac:dyDescent="0.3">
      <c r="A15">
        <v>65</v>
      </c>
      <c r="B15" t="s">
        <v>49</v>
      </c>
      <c r="C15" t="s">
        <v>165</v>
      </c>
      <c r="D15" t="s">
        <v>47</v>
      </c>
      <c r="E15">
        <v>2024</v>
      </c>
      <c r="F15" t="s">
        <v>34</v>
      </c>
      <c r="G15" t="s">
        <v>150</v>
      </c>
      <c r="H15" s="1">
        <v>45622</v>
      </c>
      <c r="I15" t="s">
        <v>153</v>
      </c>
      <c r="J15" t="s">
        <v>32</v>
      </c>
      <c r="K15" t="e">
        <v>#N/A</v>
      </c>
      <c r="L15" s="2">
        <v>45740.552789351852</v>
      </c>
      <c r="M15" t="s">
        <v>151</v>
      </c>
      <c r="N15" t="e">
        <v>#N/A</v>
      </c>
    </row>
    <row r="16" spans="1:17" x14ac:dyDescent="0.3">
      <c r="A16">
        <v>66</v>
      </c>
      <c r="B16" t="s">
        <v>48</v>
      </c>
      <c r="C16" t="s">
        <v>166</v>
      </c>
      <c r="D16" t="s">
        <v>47</v>
      </c>
      <c r="E16">
        <v>2024</v>
      </c>
      <c r="F16" t="s">
        <v>34</v>
      </c>
      <c r="G16" t="s">
        <v>150</v>
      </c>
      <c r="H16" s="1">
        <v>45636</v>
      </c>
      <c r="I16" t="s">
        <v>156</v>
      </c>
      <c r="J16" t="s">
        <v>32</v>
      </c>
      <c r="K16" t="e">
        <v>#N/A</v>
      </c>
      <c r="L16" s="2">
        <v>45726.577430555553</v>
      </c>
      <c r="M16" t="s">
        <v>151</v>
      </c>
      <c r="N16" t="e">
        <v>#N/A</v>
      </c>
    </row>
    <row r="17" spans="1:17" x14ac:dyDescent="0.3">
      <c r="A17">
        <v>103</v>
      </c>
      <c r="B17" t="s">
        <v>125</v>
      </c>
      <c r="C17" t="s">
        <v>167</v>
      </c>
      <c r="D17" t="s">
        <v>47</v>
      </c>
      <c r="E17">
        <v>2024</v>
      </c>
      <c r="F17" t="s">
        <v>34</v>
      </c>
      <c r="G17" t="s">
        <v>150</v>
      </c>
      <c r="H17" s="1">
        <v>45768</v>
      </c>
      <c r="I17" t="s">
        <v>146</v>
      </c>
      <c r="J17" t="s">
        <v>147</v>
      </c>
      <c r="K17" s="45">
        <v>8181</v>
      </c>
      <c r="L17" s="2">
        <v>45779.500543981485</v>
      </c>
      <c r="M17" t="s">
        <v>246</v>
      </c>
      <c r="N17" t="s">
        <v>244</v>
      </c>
      <c r="O17" s="44">
        <f>+VLOOKUP(B17,'Dep TCCI'!$I$3:$AC$117,2,FALSE)</f>
        <v>49453.095238095237</v>
      </c>
      <c r="P17" s="44">
        <v>22642.841250000001</v>
      </c>
      <c r="Q17" s="44">
        <f t="shared" ref="Q17:Q21" si="0">+O17-P17</f>
        <v>26810.253988095235</v>
      </c>
    </row>
    <row r="18" spans="1:17" x14ac:dyDescent="0.3">
      <c r="A18">
        <v>104</v>
      </c>
      <c r="B18" t="s">
        <v>126</v>
      </c>
      <c r="C18" t="s">
        <v>168</v>
      </c>
      <c r="D18" t="s">
        <v>47</v>
      </c>
      <c r="E18">
        <v>2024</v>
      </c>
      <c r="F18" t="s">
        <v>34</v>
      </c>
      <c r="H18" t="s">
        <v>169</v>
      </c>
      <c r="I18" t="s">
        <v>146</v>
      </c>
      <c r="J18" t="s">
        <v>147</v>
      </c>
      <c r="K18" s="45">
        <v>15356</v>
      </c>
      <c r="L18" s="2">
        <v>46059.068877314814</v>
      </c>
      <c r="M18" t="s">
        <v>246</v>
      </c>
      <c r="N18" t="s">
        <v>245</v>
      </c>
      <c r="O18" s="44">
        <f>+VLOOKUP(B18,'Dep TCCI'!$I$3:$AC$117,2,FALSE)</f>
        <v>49453.095238095237</v>
      </c>
      <c r="P18" s="44">
        <v>22642.841250000001</v>
      </c>
      <c r="Q18" s="44">
        <f t="shared" si="0"/>
        <v>26810.253988095235</v>
      </c>
    </row>
    <row r="19" spans="1:17" x14ac:dyDescent="0.3">
      <c r="A19">
        <v>109</v>
      </c>
      <c r="B19" t="s">
        <v>127</v>
      </c>
      <c r="C19" t="s">
        <v>170</v>
      </c>
      <c r="D19" t="s">
        <v>47</v>
      </c>
      <c r="E19">
        <v>2024</v>
      </c>
      <c r="F19" t="s">
        <v>34</v>
      </c>
      <c r="G19" t="s">
        <v>150</v>
      </c>
      <c r="H19" s="1">
        <v>45768</v>
      </c>
      <c r="I19" t="s">
        <v>156</v>
      </c>
      <c r="J19" t="s">
        <v>147</v>
      </c>
      <c r="K19" s="45">
        <v>13244</v>
      </c>
      <c r="L19" s="2">
        <v>45967.628576388888</v>
      </c>
      <c r="M19" t="s">
        <v>246</v>
      </c>
      <c r="N19" t="s">
        <v>245</v>
      </c>
      <c r="O19" s="44">
        <f>+VLOOKUP(B19,'Dep TCCI'!$I$3:$AC$117,2,FALSE)</f>
        <v>49453.095238095237</v>
      </c>
      <c r="P19" s="44">
        <v>22642.841250000001</v>
      </c>
      <c r="Q19" s="44">
        <f t="shared" si="0"/>
        <v>26810.253988095235</v>
      </c>
    </row>
    <row r="20" spans="1:17" x14ac:dyDescent="0.3">
      <c r="A20">
        <v>110</v>
      </c>
      <c r="B20" t="s">
        <v>128</v>
      </c>
      <c r="C20" t="s">
        <v>171</v>
      </c>
      <c r="D20" t="s">
        <v>47</v>
      </c>
      <c r="E20">
        <v>2024</v>
      </c>
      <c r="F20" t="s">
        <v>34</v>
      </c>
      <c r="G20" t="s">
        <v>150</v>
      </c>
      <c r="H20" s="1">
        <v>45768</v>
      </c>
      <c r="I20" t="s">
        <v>156</v>
      </c>
      <c r="J20" t="s">
        <v>147</v>
      </c>
      <c r="K20" s="45">
        <v>6062</v>
      </c>
      <c r="L20" s="2">
        <v>45911.555381944447</v>
      </c>
      <c r="M20" t="s">
        <v>246</v>
      </c>
      <c r="N20" t="s">
        <v>245</v>
      </c>
      <c r="O20" s="44">
        <f>+VLOOKUP(B20,'Dep TCCI'!$I$3:$AC$117,2,FALSE)</f>
        <v>49453.095238095237</v>
      </c>
      <c r="P20" s="44">
        <v>22642.841250000001</v>
      </c>
      <c r="Q20" s="44">
        <f t="shared" si="0"/>
        <v>26810.253988095235</v>
      </c>
    </row>
    <row r="21" spans="1:17" x14ac:dyDescent="0.3">
      <c r="A21">
        <v>111</v>
      </c>
      <c r="B21" t="s">
        <v>129</v>
      </c>
      <c r="C21" t="s">
        <v>172</v>
      </c>
      <c r="D21" t="s">
        <v>47</v>
      </c>
      <c r="E21">
        <v>2024</v>
      </c>
      <c r="F21" t="s">
        <v>34</v>
      </c>
      <c r="G21" t="s">
        <v>150</v>
      </c>
      <c r="H21" s="1">
        <v>45768</v>
      </c>
      <c r="I21" t="s">
        <v>153</v>
      </c>
      <c r="J21" t="s">
        <v>147</v>
      </c>
      <c r="K21" s="45">
        <v>17584</v>
      </c>
      <c r="L21" s="2">
        <v>46027.450891203705</v>
      </c>
      <c r="M21" t="s">
        <v>246</v>
      </c>
      <c r="N21" t="s">
        <v>245</v>
      </c>
      <c r="O21" s="44">
        <f>+VLOOKUP(B21,'Dep TCCI'!$I$3:$AC$117,2,FALSE)</f>
        <v>49453.095238095237</v>
      </c>
      <c r="P21" s="44">
        <v>22642.841250000001</v>
      </c>
      <c r="Q21" s="44">
        <f t="shared" si="0"/>
        <v>26810.253988095235</v>
      </c>
    </row>
    <row r="22" spans="1:17" x14ac:dyDescent="0.3">
      <c r="A22">
        <v>24</v>
      </c>
      <c r="B22" t="s">
        <v>89</v>
      </c>
      <c r="C22" t="s">
        <v>173</v>
      </c>
      <c r="D22" t="s">
        <v>30</v>
      </c>
      <c r="E22">
        <v>2023</v>
      </c>
      <c r="F22" t="s">
        <v>174</v>
      </c>
      <c r="G22" t="s">
        <v>175</v>
      </c>
      <c r="H22" s="1">
        <v>45328</v>
      </c>
      <c r="I22" t="s">
        <v>146</v>
      </c>
      <c r="J22" t="s">
        <v>147</v>
      </c>
      <c r="K22" t="e">
        <v>#N/A</v>
      </c>
      <c r="L22" s="2">
        <v>45658.568958333337</v>
      </c>
      <c r="M22" t="s">
        <v>148</v>
      </c>
      <c r="N22" t="e">
        <v>#N/A</v>
      </c>
    </row>
    <row r="23" spans="1:17" x14ac:dyDescent="0.3">
      <c r="A23">
        <v>25</v>
      </c>
      <c r="B23" t="s">
        <v>84</v>
      </c>
      <c r="C23" t="s">
        <v>176</v>
      </c>
      <c r="D23" t="s">
        <v>30</v>
      </c>
      <c r="E23">
        <v>2023</v>
      </c>
      <c r="F23" t="s">
        <v>31</v>
      </c>
      <c r="G23" t="s">
        <v>175</v>
      </c>
      <c r="H23" s="1">
        <v>45328</v>
      </c>
      <c r="I23" t="s">
        <v>146</v>
      </c>
      <c r="J23" t="s">
        <v>147</v>
      </c>
      <c r="K23" t="e">
        <v>#N/A</v>
      </c>
      <c r="L23" s="2">
        <v>45705.457800925928</v>
      </c>
      <c r="M23" t="s">
        <v>148</v>
      </c>
      <c r="N23" t="e">
        <v>#N/A</v>
      </c>
    </row>
    <row r="24" spans="1:17" x14ac:dyDescent="0.3">
      <c r="A24">
        <v>26</v>
      </c>
      <c r="B24" t="s">
        <v>37</v>
      </c>
      <c r="C24" t="s">
        <v>177</v>
      </c>
      <c r="D24" t="s">
        <v>30</v>
      </c>
      <c r="E24">
        <v>2023</v>
      </c>
      <c r="F24" t="s">
        <v>31</v>
      </c>
      <c r="G24" t="s">
        <v>175</v>
      </c>
      <c r="H24" s="1">
        <v>45328</v>
      </c>
      <c r="I24" t="s">
        <v>146</v>
      </c>
      <c r="J24" t="s">
        <v>32</v>
      </c>
      <c r="K24" t="e">
        <v>#N/A</v>
      </c>
      <c r="L24" s="2">
        <v>45677.443333333336</v>
      </c>
      <c r="M24" t="s">
        <v>148</v>
      </c>
      <c r="N24" t="e">
        <v>#N/A</v>
      </c>
    </row>
    <row r="25" spans="1:17" x14ac:dyDescent="0.3">
      <c r="A25">
        <v>27</v>
      </c>
      <c r="B25" t="s">
        <v>88</v>
      </c>
      <c r="C25" t="s">
        <v>178</v>
      </c>
      <c r="D25" t="s">
        <v>30</v>
      </c>
      <c r="E25">
        <v>2023</v>
      </c>
      <c r="F25" t="s">
        <v>174</v>
      </c>
      <c r="G25" t="s">
        <v>179</v>
      </c>
      <c r="H25" s="1">
        <v>45328</v>
      </c>
      <c r="I25" t="s">
        <v>146</v>
      </c>
      <c r="J25" t="s">
        <v>147</v>
      </c>
      <c r="K25" t="e">
        <v>#N/A</v>
      </c>
      <c r="L25" s="2">
        <v>45600.012002314812</v>
      </c>
      <c r="M25" t="s">
        <v>148</v>
      </c>
      <c r="N25" t="e">
        <v>#N/A</v>
      </c>
    </row>
    <row r="26" spans="1:17" x14ac:dyDescent="0.3">
      <c r="A26">
        <v>28</v>
      </c>
      <c r="B26" t="s">
        <v>40</v>
      </c>
      <c r="C26" t="s">
        <v>180</v>
      </c>
      <c r="D26" t="s">
        <v>30</v>
      </c>
      <c r="E26">
        <v>2023</v>
      </c>
      <c r="F26" t="s">
        <v>174</v>
      </c>
      <c r="G26" t="s">
        <v>175</v>
      </c>
      <c r="H26" s="1">
        <v>45328</v>
      </c>
      <c r="I26" t="s">
        <v>146</v>
      </c>
      <c r="J26" t="s">
        <v>32</v>
      </c>
      <c r="K26" s="45">
        <v>53717</v>
      </c>
      <c r="L26" s="2">
        <v>46043.533032407409</v>
      </c>
      <c r="M26" t="s">
        <v>246</v>
      </c>
      <c r="N26" t="s">
        <v>244</v>
      </c>
      <c r="O26" s="44">
        <f>+VLOOKUP(B26,'Dep TCCI'!$I$3:$AC$117,2,FALSE)</f>
        <v>47359.019047619047</v>
      </c>
      <c r="P26" s="44">
        <v>22642.841250000001</v>
      </c>
      <c r="Q26" s="44">
        <f>+O26-P26</f>
        <v>24716.177797619046</v>
      </c>
    </row>
    <row r="27" spans="1:17" x14ac:dyDescent="0.3">
      <c r="A27">
        <v>29</v>
      </c>
      <c r="B27" t="s">
        <v>39</v>
      </c>
      <c r="C27" t="s">
        <v>181</v>
      </c>
      <c r="D27" t="s">
        <v>30</v>
      </c>
      <c r="E27">
        <v>2023</v>
      </c>
      <c r="F27" t="s">
        <v>31</v>
      </c>
      <c r="G27" t="s">
        <v>179</v>
      </c>
      <c r="H27" s="1">
        <v>45328</v>
      </c>
      <c r="I27" t="s">
        <v>182</v>
      </c>
      <c r="J27" t="s">
        <v>32</v>
      </c>
      <c r="K27" s="45">
        <v>100170</v>
      </c>
      <c r="L27" s="2">
        <v>46051.515775462962</v>
      </c>
      <c r="M27" t="s">
        <v>246</v>
      </c>
      <c r="N27" t="s">
        <v>245</v>
      </c>
      <c r="O27" s="44">
        <f>+VLOOKUP(B27,'Dep TCCI'!$I$3:$AC$117,2,FALSE)</f>
        <v>42611.71428571429</v>
      </c>
      <c r="P27" s="44">
        <f ca="1">+VLOOKUP(B27,'Dep TCCI'!$I$3:$AC$117,20,FALSE)</f>
        <v>14713.666666666672</v>
      </c>
      <c r="Q27" s="44">
        <f ca="1">+O27-P27</f>
        <v>27898.047619047618</v>
      </c>
    </row>
    <row r="28" spans="1:17" x14ac:dyDescent="0.3">
      <c r="A28">
        <v>30</v>
      </c>
      <c r="B28" t="s">
        <v>38</v>
      </c>
      <c r="C28" t="s">
        <v>183</v>
      </c>
      <c r="D28" t="s">
        <v>30</v>
      </c>
      <c r="E28">
        <v>2023</v>
      </c>
      <c r="F28" t="s">
        <v>31</v>
      </c>
      <c r="G28" t="s">
        <v>179</v>
      </c>
      <c r="H28" s="1">
        <v>45328</v>
      </c>
      <c r="I28" t="s">
        <v>182</v>
      </c>
      <c r="J28" t="s">
        <v>32</v>
      </c>
      <c r="K28">
        <v>45554</v>
      </c>
      <c r="L28" s="2">
        <v>45736.481712962966</v>
      </c>
      <c r="M28" t="s">
        <v>148</v>
      </c>
      <c r="N28" t="s">
        <v>245</v>
      </c>
    </row>
    <row r="29" spans="1:17" x14ac:dyDescent="0.3">
      <c r="A29">
        <v>31</v>
      </c>
      <c r="B29" t="s">
        <v>42</v>
      </c>
      <c r="C29" t="s">
        <v>184</v>
      </c>
      <c r="D29" t="s">
        <v>30</v>
      </c>
      <c r="E29">
        <v>2023</v>
      </c>
      <c r="F29" t="s">
        <v>174</v>
      </c>
      <c r="G29" t="s">
        <v>179</v>
      </c>
      <c r="H29" s="1">
        <v>45328</v>
      </c>
      <c r="I29" t="s">
        <v>182</v>
      </c>
      <c r="J29" t="s">
        <v>32</v>
      </c>
      <c r="K29">
        <v>35432</v>
      </c>
      <c r="L29" s="2">
        <v>45737.942233796297</v>
      </c>
      <c r="M29" t="s">
        <v>148</v>
      </c>
      <c r="N29" t="s">
        <v>245</v>
      </c>
    </row>
    <row r="30" spans="1:17" x14ac:dyDescent="0.3">
      <c r="A30">
        <v>32</v>
      </c>
      <c r="B30" t="s">
        <v>43</v>
      </c>
      <c r="C30" t="s">
        <v>185</v>
      </c>
      <c r="D30" t="s">
        <v>30</v>
      </c>
      <c r="E30">
        <v>2023</v>
      </c>
      <c r="F30" t="s">
        <v>174</v>
      </c>
      <c r="G30" t="s">
        <v>186</v>
      </c>
      <c r="H30" s="1">
        <v>45328</v>
      </c>
      <c r="I30" t="s">
        <v>182</v>
      </c>
      <c r="J30" t="s">
        <v>32</v>
      </c>
      <c r="K30">
        <v>41930</v>
      </c>
      <c r="L30" s="2">
        <v>45770.656631944446</v>
      </c>
      <c r="M30" t="s">
        <v>148</v>
      </c>
      <c r="N30" t="s">
        <v>245</v>
      </c>
    </row>
    <row r="31" spans="1:17" x14ac:dyDescent="0.3">
      <c r="A31">
        <v>33</v>
      </c>
      <c r="B31" t="s">
        <v>41</v>
      </c>
      <c r="C31" t="s">
        <v>187</v>
      </c>
      <c r="D31" t="s">
        <v>30</v>
      </c>
      <c r="E31">
        <v>2023</v>
      </c>
      <c r="F31" t="s">
        <v>174</v>
      </c>
      <c r="G31" t="s">
        <v>175</v>
      </c>
      <c r="H31" s="1">
        <v>45328</v>
      </c>
      <c r="I31" t="s">
        <v>182</v>
      </c>
      <c r="J31" t="s">
        <v>32</v>
      </c>
      <c r="K31">
        <v>59451</v>
      </c>
      <c r="L31" s="2">
        <v>45757.876643518517</v>
      </c>
      <c r="M31" t="s">
        <v>148</v>
      </c>
      <c r="N31" t="s">
        <v>245</v>
      </c>
    </row>
    <row r="32" spans="1:17" x14ac:dyDescent="0.3">
      <c r="A32">
        <v>34</v>
      </c>
      <c r="B32" t="s">
        <v>87</v>
      </c>
      <c r="C32" t="s">
        <v>188</v>
      </c>
      <c r="D32" t="s">
        <v>30</v>
      </c>
      <c r="E32">
        <v>2023</v>
      </c>
      <c r="F32" t="s">
        <v>31</v>
      </c>
      <c r="G32" t="s">
        <v>175</v>
      </c>
      <c r="H32" s="1">
        <v>45328</v>
      </c>
      <c r="I32" t="s">
        <v>153</v>
      </c>
      <c r="J32" t="s">
        <v>147</v>
      </c>
      <c r="K32" s="45">
        <v>83001</v>
      </c>
      <c r="L32" s="2">
        <v>45988.591689814813</v>
      </c>
      <c r="M32" t="s">
        <v>246</v>
      </c>
      <c r="N32" t="s">
        <v>245</v>
      </c>
      <c r="O32" s="44">
        <f>+VLOOKUP(B32,'Dep TCCI'!$I$3:$AC$117,2,FALSE)</f>
        <v>42992.666666666664</v>
      </c>
      <c r="P32" s="44">
        <f ca="1">+VLOOKUP(B32,'Dep TCCI'!$I$3:$AC$117,20,FALSE)</f>
        <v>15158.111111111108</v>
      </c>
      <c r="Q32" s="44">
        <f ca="1">+O32-P32</f>
        <v>27834.555555555555</v>
      </c>
    </row>
    <row r="33" spans="1:17" x14ac:dyDescent="0.3">
      <c r="A33">
        <v>35</v>
      </c>
      <c r="B33" t="s">
        <v>86</v>
      </c>
      <c r="C33" t="s">
        <v>189</v>
      </c>
      <c r="D33" t="s">
        <v>30</v>
      </c>
      <c r="E33">
        <v>2023</v>
      </c>
      <c r="F33" t="s">
        <v>31</v>
      </c>
      <c r="G33" t="s">
        <v>190</v>
      </c>
      <c r="H33" s="1">
        <v>45328</v>
      </c>
      <c r="I33" t="s">
        <v>153</v>
      </c>
      <c r="J33" t="s">
        <v>147</v>
      </c>
      <c r="K33" t="e">
        <v>#N/A</v>
      </c>
      <c r="L33" s="2">
        <v>45688.65283564815</v>
      </c>
      <c r="M33" t="s">
        <v>148</v>
      </c>
      <c r="N33" t="e">
        <v>#N/A</v>
      </c>
    </row>
    <row r="34" spans="1:17" x14ac:dyDescent="0.3">
      <c r="A34">
        <v>36</v>
      </c>
      <c r="B34" t="s">
        <v>93</v>
      </c>
      <c r="C34" t="s">
        <v>191</v>
      </c>
      <c r="D34" t="s">
        <v>30</v>
      </c>
      <c r="E34">
        <v>2023</v>
      </c>
      <c r="F34" t="s">
        <v>174</v>
      </c>
      <c r="G34" t="s">
        <v>175</v>
      </c>
      <c r="H34" s="1">
        <v>45328</v>
      </c>
      <c r="I34" t="s">
        <v>153</v>
      </c>
      <c r="J34" t="s">
        <v>147</v>
      </c>
      <c r="K34" t="e">
        <v>#N/A</v>
      </c>
      <c r="L34" s="2">
        <v>45650.640868055554</v>
      </c>
      <c r="M34" t="s">
        <v>148</v>
      </c>
      <c r="N34" t="e">
        <v>#N/A</v>
      </c>
    </row>
    <row r="35" spans="1:17" x14ac:dyDescent="0.3">
      <c r="A35">
        <v>37</v>
      </c>
      <c r="B35" t="s">
        <v>92</v>
      </c>
      <c r="C35" t="s">
        <v>192</v>
      </c>
      <c r="D35" t="s">
        <v>30</v>
      </c>
      <c r="E35">
        <v>2023</v>
      </c>
      <c r="F35" t="s">
        <v>174</v>
      </c>
      <c r="G35" t="s">
        <v>186</v>
      </c>
      <c r="H35" s="1">
        <v>45328</v>
      </c>
      <c r="I35" t="s">
        <v>153</v>
      </c>
      <c r="J35" t="s">
        <v>147</v>
      </c>
      <c r="K35" t="e">
        <v>#N/A</v>
      </c>
      <c r="L35" s="2">
        <v>45715.672881944447</v>
      </c>
      <c r="M35" t="s">
        <v>148</v>
      </c>
      <c r="N35" t="e">
        <v>#N/A</v>
      </c>
    </row>
    <row r="36" spans="1:17" x14ac:dyDescent="0.3">
      <c r="A36">
        <v>38</v>
      </c>
      <c r="B36" t="s">
        <v>85</v>
      </c>
      <c r="C36" t="s">
        <v>193</v>
      </c>
      <c r="D36" t="s">
        <v>30</v>
      </c>
      <c r="E36">
        <v>2023</v>
      </c>
      <c r="F36" t="s">
        <v>31</v>
      </c>
      <c r="G36" t="s">
        <v>175</v>
      </c>
      <c r="H36" s="1">
        <v>45328</v>
      </c>
      <c r="I36" t="s">
        <v>156</v>
      </c>
      <c r="J36" t="s">
        <v>147</v>
      </c>
      <c r="K36" t="e">
        <v>#N/A</v>
      </c>
      <c r="L36" s="2">
        <v>45663.017187500001</v>
      </c>
      <c r="M36" t="s">
        <v>151</v>
      </c>
      <c r="N36" t="e">
        <v>#N/A</v>
      </c>
    </row>
    <row r="37" spans="1:17" x14ac:dyDescent="0.3">
      <c r="A37">
        <v>39</v>
      </c>
      <c r="B37" t="s">
        <v>91</v>
      </c>
      <c r="C37" t="s">
        <v>194</v>
      </c>
      <c r="D37" t="s">
        <v>30</v>
      </c>
      <c r="E37">
        <v>2023</v>
      </c>
      <c r="F37" t="s">
        <v>174</v>
      </c>
      <c r="G37" t="s">
        <v>179</v>
      </c>
      <c r="H37" s="1">
        <v>45328</v>
      </c>
      <c r="I37" t="s">
        <v>156</v>
      </c>
      <c r="J37" t="s">
        <v>147</v>
      </c>
      <c r="K37" t="e">
        <v>#N/A</v>
      </c>
      <c r="L37" s="2">
        <v>45669.662962962961</v>
      </c>
      <c r="M37" t="s">
        <v>151</v>
      </c>
      <c r="N37" t="e">
        <v>#N/A</v>
      </c>
    </row>
    <row r="38" spans="1:17" x14ac:dyDescent="0.3">
      <c r="A38">
        <v>40</v>
      </c>
      <c r="B38" t="s">
        <v>90</v>
      </c>
      <c r="C38" t="s">
        <v>195</v>
      </c>
      <c r="D38" t="s">
        <v>30</v>
      </c>
      <c r="E38">
        <v>2023</v>
      </c>
      <c r="F38" t="s">
        <v>174</v>
      </c>
      <c r="G38" t="s">
        <v>175</v>
      </c>
      <c r="H38" s="1">
        <v>45328</v>
      </c>
      <c r="I38" t="s">
        <v>156</v>
      </c>
      <c r="J38" t="s">
        <v>147</v>
      </c>
      <c r="K38" t="e">
        <v>#N/A</v>
      </c>
      <c r="L38" s="2">
        <v>45687.63208333333</v>
      </c>
      <c r="M38" t="s">
        <v>151</v>
      </c>
      <c r="N38" t="e">
        <v>#N/A</v>
      </c>
    </row>
    <row r="39" spans="1:17" x14ac:dyDescent="0.3">
      <c r="A39">
        <v>41</v>
      </c>
      <c r="B39" t="s">
        <v>35</v>
      </c>
      <c r="C39" t="s">
        <v>196</v>
      </c>
      <c r="D39" t="s">
        <v>30</v>
      </c>
      <c r="E39">
        <v>2023</v>
      </c>
      <c r="F39" t="s">
        <v>174</v>
      </c>
      <c r="G39" t="s">
        <v>179</v>
      </c>
      <c r="H39" s="1">
        <v>45328</v>
      </c>
      <c r="I39" t="s">
        <v>156</v>
      </c>
      <c r="J39" t="s">
        <v>32</v>
      </c>
      <c r="K39" t="e">
        <v>#N/A</v>
      </c>
      <c r="L39" s="2">
        <v>45663.671817129631</v>
      </c>
      <c r="M39" t="s">
        <v>151</v>
      </c>
      <c r="N39" t="e">
        <v>#N/A</v>
      </c>
    </row>
    <row r="40" spans="1:17" x14ac:dyDescent="0.3">
      <c r="A40">
        <v>42</v>
      </c>
      <c r="B40" t="s">
        <v>33</v>
      </c>
      <c r="C40" t="s">
        <v>197</v>
      </c>
      <c r="D40" t="s">
        <v>30</v>
      </c>
      <c r="E40">
        <v>2023</v>
      </c>
      <c r="F40" t="s">
        <v>31</v>
      </c>
      <c r="G40" t="s">
        <v>175</v>
      </c>
      <c r="H40" s="1">
        <v>45329</v>
      </c>
      <c r="I40" t="s">
        <v>156</v>
      </c>
      <c r="J40" t="s">
        <v>32</v>
      </c>
      <c r="K40" s="45">
        <v>89737</v>
      </c>
      <c r="L40" s="2">
        <v>46045.086238425924</v>
      </c>
      <c r="M40" t="s">
        <v>246</v>
      </c>
      <c r="N40" t="s">
        <v>245</v>
      </c>
      <c r="O40" s="44">
        <f>+VLOOKUP(B40,'Dep TCCI'!$I$3:$AC$117,2,FALSE)</f>
        <v>45611.71</v>
      </c>
      <c r="P40" s="44">
        <f ca="1">+VLOOKUP(B40,'Dep TCCI'!$I$3:$AC$117,20,FALSE)</f>
        <v>18213.661666666663</v>
      </c>
      <c r="Q40" s="44">
        <f ca="1">+O40-P40</f>
        <v>27398.048333333336</v>
      </c>
    </row>
    <row r="41" spans="1:17" x14ac:dyDescent="0.3">
      <c r="A41">
        <v>43</v>
      </c>
      <c r="B41" t="s">
        <v>44</v>
      </c>
      <c r="C41" t="s">
        <v>198</v>
      </c>
      <c r="D41" t="s">
        <v>30</v>
      </c>
      <c r="E41">
        <v>2023</v>
      </c>
      <c r="F41" t="s">
        <v>174</v>
      </c>
      <c r="G41" t="s">
        <v>199</v>
      </c>
      <c r="H41" s="1">
        <v>45328</v>
      </c>
      <c r="I41" t="s">
        <v>182</v>
      </c>
      <c r="J41" t="s">
        <v>32</v>
      </c>
      <c r="K41">
        <v>47167</v>
      </c>
      <c r="L41" s="2">
        <v>45741.037997685184</v>
      </c>
      <c r="M41" t="s">
        <v>148</v>
      </c>
      <c r="N41" t="s">
        <v>245</v>
      </c>
    </row>
    <row r="42" spans="1:17" x14ac:dyDescent="0.3">
      <c r="A42">
        <v>67</v>
      </c>
      <c r="B42" t="s">
        <v>97</v>
      </c>
      <c r="C42" t="s">
        <v>200</v>
      </c>
      <c r="D42" t="s">
        <v>30</v>
      </c>
      <c r="E42">
        <v>2024</v>
      </c>
      <c r="F42" t="s">
        <v>31</v>
      </c>
      <c r="G42" t="s">
        <v>190</v>
      </c>
      <c r="H42" s="1">
        <v>45635</v>
      </c>
      <c r="I42" t="s">
        <v>156</v>
      </c>
      <c r="J42" t="s">
        <v>147</v>
      </c>
      <c r="K42" s="45">
        <v>40925</v>
      </c>
      <c r="L42" s="2">
        <v>46055.534745370373</v>
      </c>
      <c r="M42" t="s">
        <v>246</v>
      </c>
      <c r="N42" t="s">
        <v>244</v>
      </c>
      <c r="O42" s="44">
        <f>+VLOOKUP(B42,'Dep TCCI'!$I$3:$AC$117,2,FALSE)</f>
        <v>44782.095238095237</v>
      </c>
      <c r="P42" s="44">
        <f ca="1">+VLOOKUP(B42,'Dep TCCI'!$I$3:$AC$117,20,FALSE)</f>
        <v>11521.396825396825</v>
      </c>
      <c r="Q42" s="44">
        <f t="shared" ref="Q42:Q84" ca="1" si="1">+O42-P42</f>
        <v>33260.69841269841</v>
      </c>
    </row>
    <row r="43" spans="1:17" x14ac:dyDescent="0.3">
      <c r="A43">
        <v>68</v>
      </c>
      <c r="B43" t="s">
        <v>98</v>
      </c>
      <c r="C43" t="s">
        <v>201</v>
      </c>
      <c r="D43" t="s">
        <v>30</v>
      </c>
      <c r="E43">
        <v>2024</v>
      </c>
      <c r="F43" t="s">
        <v>31</v>
      </c>
      <c r="G43" t="s">
        <v>190</v>
      </c>
      <c r="H43" s="1">
        <v>45635</v>
      </c>
      <c r="I43" t="s">
        <v>156</v>
      </c>
      <c r="J43" t="s">
        <v>147</v>
      </c>
      <c r="K43" s="45">
        <v>40256</v>
      </c>
      <c r="L43" s="2">
        <v>46021.624699074076</v>
      </c>
      <c r="M43" t="s">
        <v>246</v>
      </c>
      <c r="N43" t="s">
        <v>244</v>
      </c>
      <c r="O43" s="44">
        <f>+VLOOKUP(B43,'Dep TCCI'!$I$3:$AC$117,2,FALSE)</f>
        <v>44782.095238095237</v>
      </c>
      <c r="P43" s="44">
        <f ca="1">+VLOOKUP(B43,'Dep TCCI'!$I$3:$AC$117,20,FALSE)</f>
        <v>11521.396825396825</v>
      </c>
      <c r="Q43" s="44">
        <f t="shared" ca="1" si="1"/>
        <v>33260.69841269841</v>
      </c>
    </row>
    <row r="44" spans="1:17" x14ac:dyDescent="0.3">
      <c r="A44">
        <v>69</v>
      </c>
      <c r="B44" t="s">
        <v>99</v>
      </c>
      <c r="C44" t="s">
        <v>202</v>
      </c>
      <c r="D44" t="s">
        <v>30</v>
      </c>
      <c r="E44">
        <v>2024</v>
      </c>
      <c r="F44" t="s">
        <v>31</v>
      </c>
      <c r="G44" t="s">
        <v>190</v>
      </c>
      <c r="H44" s="1">
        <v>45635</v>
      </c>
      <c r="I44" t="s">
        <v>156</v>
      </c>
      <c r="J44" t="s">
        <v>147</v>
      </c>
      <c r="K44" s="45">
        <v>47407</v>
      </c>
      <c r="L44" s="2">
        <v>46024.593981481485</v>
      </c>
      <c r="M44" t="s">
        <v>246</v>
      </c>
      <c r="N44" t="s">
        <v>244</v>
      </c>
      <c r="O44" s="44">
        <f>+VLOOKUP(B44,'Dep TCCI'!$I$3:$AC$117,2,FALSE)</f>
        <v>44782.095238095237</v>
      </c>
      <c r="P44" s="44">
        <f ca="1">+VLOOKUP(B44,'Dep TCCI'!$I$3:$AC$117,20,FALSE)</f>
        <v>11521.396825396825</v>
      </c>
      <c r="Q44" s="44">
        <f t="shared" ca="1" si="1"/>
        <v>33260.69841269841</v>
      </c>
    </row>
    <row r="45" spans="1:17" x14ac:dyDescent="0.3">
      <c r="A45">
        <v>70</v>
      </c>
      <c r="B45" t="s">
        <v>100</v>
      </c>
      <c r="C45" t="s">
        <v>203</v>
      </c>
      <c r="D45" t="s">
        <v>30</v>
      </c>
      <c r="E45">
        <v>2024</v>
      </c>
      <c r="F45" t="s">
        <v>31</v>
      </c>
      <c r="G45" t="s">
        <v>190</v>
      </c>
      <c r="H45" s="1">
        <v>45635</v>
      </c>
      <c r="I45" t="s">
        <v>156</v>
      </c>
      <c r="J45" t="s">
        <v>147</v>
      </c>
      <c r="K45" s="45">
        <v>63761</v>
      </c>
      <c r="L45" s="2">
        <v>46052.769826388889</v>
      </c>
      <c r="M45" t="s">
        <v>246</v>
      </c>
      <c r="N45" t="s">
        <v>244</v>
      </c>
      <c r="O45" s="44">
        <f>+VLOOKUP(B45,'Dep TCCI'!$I$3:$AC$117,2,FALSE)</f>
        <v>44782.095238095237</v>
      </c>
      <c r="P45" s="44">
        <f ca="1">+VLOOKUP(B45,'Dep TCCI'!$I$3:$AC$117,20,FALSE)</f>
        <v>11521.396825396825</v>
      </c>
      <c r="Q45" s="44">
        <f t="shared" ca="1" si="1"/>
        <v>33260.69841269841</v>
      </c>
    </row>
    <row r="46" spans="1:17" x14ac:dyDescent="0.3">
      <c r="A46">
        <v>71</v>
      </c>
      <c r="B46" t="s">
        <v>101</v>
      </c>
      <c r="C46" t="s">
        <v>204</v>
      </c>
      <c r="D46" t="s">
        <v>30</v>
      </c>
      <c r="E46">
        <v>2024</v>
      </c>
      <c r="F46" t="s">
        <v>31</v>
      </c>
      <c r="G46" t="s">
        <v>190</v>
      </c>
      <c r="H46" s="1">
        <v>45635</v>
      </c>
      <c r="I46" t="s">
        <v>156</v>
      </c>
      <c r="J46" t="s">
        <v>147</v>
      </c>
      <c r="K46" s="45">
        <v>54789</v>
      </c>
      <c r="L46" s="2">
        <v>46056.833368055559</v>
      </c>
      <c r="M46" t="s">
        <v>246</v>
      </c>
      <c r="N46" t="s">
        <v>245</v>
      </c>
      <c r="O46" s="44">
        <f>+VLOOKUP(B46,'Dep TCCI'!$I$3:$AC$117,2,FALSE)</f>
        <v>44782.095238095237</v>
      </c>
      <c r="P46" s="44">
        <f ca="1">+VLOOKUP(B46,'Dep TCCI'!$I$3:$AC$117,20,FALSE)</f>
        <v>11521.396825396825</v>
      </c>
      <c r="Q46" s="44">
        <f t="shared" ca="1" si="1"/>
        <v>33260.69841269841</v>
      </c>
    </row>
    <row r="47" spans="1:17" x14ac:dyDescent="0.3">
      <c r="A47">
        <v>72</v>
      </c>
      <c r="B47" t="s">
        <v>102</v>
      </c>
      <c r="C47" t="s">
        <v>205</v>
      </c>
      <c r="D47" t="s">
        <v>30</v>
      </c>
      <c r="E47">
        <v>2024</v>
      </c>
      <c r="F47" t="s">
        <v>31</v>
      </c>
      <c r="G47" t="s">
        <v>199</v>
      </c>
      <c r="H47" s="1">
        <v>45635</v>
      </c>
      <c r="I47" t="s">
        <v>156</v>
      </c>
      <c r="J47" t="s">
        <v>147</v>
      </c>
      <c r="K47" s="45">
        <v>60678</v>
      </c>
      <c r="L47" s="2">
        <v>46036.113877314812</v>
      </c>
      <c r="M47" t="s">
        <v>246</v>
      </c>
      <c r="N47" t="s">
        <v>244</v>
      </c>
      <c r="O47" s="44">
        <f>+VLOOKUP(B47,'Dep TCCI'!$I$3:$AC$117,2,FALSE)</f>
        <v>44782.095238095237</v>
      </c>
      <c r="P47" s="44">
        <f ca="1">+VLOOKUP(B47,'Dep TCCI'!$I$3:$AC$117,20,FALSE)</f>
        <v>11521.396825396825</v>
      </c>
      <c r="Q47" s="44">
        <f t="shared" ca="1" si="1"/>
        <v>33260.69841269841</v>
      </c>
    </row>
    <row r="48" spans="1:17" x14ac:dyDescent="0.3">
      <c r="A48">
        <v>73</v>
      </c>
      <c r="B48" t="s">
        <v>103</v>
      </c>
      <c r="C48" t="s">
        <v>206</v>
      </c>
      <c r="D48" t="s">
        <v>30</v>
      </c>
      <c r="E48">
        <v>2024</v>
      </c>
      <c r="F48" t="s">
        <v>31</v>
      </c>
      <c r="G48" t="s">
        <v>199</v>
      </c>
      <c r="H48" s="1">
        <v>45635</v>
      </c>
      <c r="I48" t="s">
        <v>156</v>
      </c>
      <c r="J48" t="s">
        <v>147</v>
      </c>
      <c r="K48" s="45">
        <v>41629</v>
      </c>
      <c r="L48" s="2">
        <v>46015.525856481479</v>
      </c>
      <c r="M48" t="s">
        <v>246</v>
      </c>
      <c r="N48" t="s">
        <v>244</v>
      </c>
      <c r="O48" s="44">
        <f>+VLOOKUP(B48,'Dep TCCI'!$I$3:$AC$117,2,FALSE)</f>
        <v>44782.095238095237</v>
      </c>
      <c r="P48" s="44">
        <f ca="1">+VLOOKUP(B48,'Dep TCCI'!$I$3:$AC$117,20,FALSE)</f>
        <v>11521.396825396825</v>
      </c>
      <c r="Q48" s="44">
        <f t="shared" ca="1" si="1"/>
        <v>33260.69841269841</v>
      </c>
    </row>
    <row r="49" spans="1:17" x14ac:dyDescent="0.3">
      <c r="A49">
        <v>74</v>
      </c>
      <c r="B49" t="s">
        <v>104</v>
      </c>
      <c r="C49" t="s">
        <v>207</v>
      </c>
      <c r="D49" t="s">
        <v>30</v>
      </c>
      <c r="E49">
        <v>2024</v>
      </c>
      <c r="F49" t="s">
        <v>31</v>
      </c>
      <c r="G49" t="s">
        <v>199</v>
      </c>
      <c r="H49" s="1">
        <v>45635</v>
      </c>
      <c r="I49" t="s">
        <v>156</v>
      </c>
      <c r="J49" t="s">
        <v>147</v>
      </c>
      <c r="K49" s="45">
        <v>29109</v>
      </c>
      <c r="L49" s="2">
        <v>46034.949143518519</v>
      </c>
      <c r="M49" t="s">
        <v>246</v>
      </c>
      <c r="N49" t="s">
        <v>245</v>
      </c>
      <c r="O49" s="44">
        <f>+VLOOKUP(B49,'Dep TCCI'!$I$3:$AC$117,2,FALSE)</f>
        <v>44782.095238095237</v>
      </c>
      <c r="P49" s="44">
        <f ca="1">+VLOOKUP(B49,'Dep TCCI'!$I$3:$AC$117,20,FALSE)</f>
        <v>11521.396825396825</v>
      </c>
      <c r="Q49" s="44">
        <f t="shared" ca="1" si="1"/>
        <v>33260.69841269841</v>
      </c>
    </row>
    <row r="50" spans="1:17" x14ac:dyDescent="0.3">
      <c r="A50">
        <v>75</v>
      </c>
      <c r="B50" t="s">
        <v>105</v>
      </c>
      <c r="C50" t="s">
        <v>208</v>
      </c>
      <c r="D50" t="s">
        <v>30</v>
      </c>
      <c r="E50">
        <v>2024</v>
      </c>
      <c r="F50" t="s">
        <v>31</v>
      </c>
      <c r="G50" t="s">
        <v>199</v>
      </c>
      <c r="H50" s="1">
        <v>45636</v>
      </c>
      <c r="I50" t="s">
        <v>156</v>
      </c>
      <c r="J50" t="s">
        <v>147</v>
      </c>
      <c r="K50" s="45">
        <v>46701</v>
      </c>
      <c r="L50" s="2">
        <v>46026.1878125</v>
      </c>
      <c r="M50" t="s">
        <v>246</v>
      </c>
      <c r="N50" t="s">
        <v>244</v>
      </c>
      <c r="O50" s="44">
        <f>+VLOOKUP(B50,'Dep TCCI'!$I$3:$AC$117,2,FALSE)</f>
        <v>44782.095238095237</v>
      </c>
      <c r="P50" s="44">
        <f ca="1">+VLOOKUP(B50,'Dep TCCI'!$I$3:$AC$117,20,FALSE)</f>
        <v>11521.396825396825</v>
      </c>
      <c r="Q50" s="44">
        <f t="shared" ca="1" si="1"/>
        <v>33260.69841269841</v>
      </c>
    </row>
    <row r="51" spans="1:17" x14ac:dyDescent="0.3">
      <c r="A51">
        <v>76</v>
      </c>
      <c r="B51" t="s">
        <v>106</v>
      </c>
      <c r="C51" t="s">
        <v>209</v>
      </c>
      <c r="D51" t="s">
        <v>30</v>
      </c>
      <c r="E51">
        <v>2024</v>
      </c>
      <c r="F51" t="s">
        <v>31</v>
      </c>
      <c r="G51" t="s">
        <v>199</v>
      </c>
      <c r="H51" s="1">
        <v>45635</v>
      </c>
      <c r="I51" t="s">
        <v>156</v>
      </c>
      <c r="J51" t="s">
        <v>147</v>
      </c>
      <c r="K51" s="45">
        <v>58517</v>
      </c>
      <c r="L51" s="2">
        <v>46023.66909722222</v>
      </c>
      <c r="M51" t="s">
        <v>246</v>
      </c>
      <c r="N51" t="s">
        <v>244</v>
      </c>
      <c r="O51" s="44">
        <f>+VLOOKUP(B51,'Dep TCCI'!$I$3:$AC$117,2,FALSE)</f>
        <v>44782.095238095237</v>
      </c>
      <c r="P51" s="44">
        <f ca="1">+VLOOKUP(B51,'Dep TCCI'!$I$3:$AC$117,20,FALSE)</f>
        <v>11521.396825396825</v>
      </c>
      <c r="Q51" s="44">
        <f t="shared" ca="1" si="1"/>
        <v>33260.69841269841</v>
      </c>
    </row>
    <row r="52" spans="1:17" x14ac:dyDescent="0.3">
      <c r="A52">
        <v>77</v>
      </c>
      <c r="B52" t="s">
        <v>107</v>
      </c>
      <c r="C52" t="s">
        <v>210</v>
      </c>
      <c r="D52" t="s">
        <v>30</v>
      </c>
      <c r="E52">
        <v>2024</v>
      </c>
      <c r="F52" t="s">
        <v>31</v>
      </c>
      <c r="G52" t="s">
        <v>199</v>
      </c>
      <c r="H52" s="1">
        <v>45635</v>
      </c>
      <c r="I52" t="s">
        <v>156</v>
      </c>
      <c r="J52" t="s">
        <v>147</v>
      </c>
      <c r="K52" s="45">
        <v>42462</v>
      </c>
      <c r="L52" s="2">
        <v>46034.445393518516</v>
      </c>
      <c r="M52" t="s">
        <v>246</v>
      </c>
      <c r="N52" t="s">
        <v>244</v>
      </c>
      <c r="O52" s="44">
        <f>+VLOOKUP(B52,'Dep TCCI'!$I$3:$AC$117,2,FALSE)</f>
        <v>44782.095238095237</v>
      </c>
      <c r="P52" s="44">
        <f ca="1">+VLOOKUP(B52,'Dep TCCI'!$I$3:$AC$117,20,FALSE)</f>
        <v>11521.396825396825</v>
      </c>
      <c r="Q52" s="44">
        <f t="shared" ca="1" si="1"/>
        <v>33260.69841269841</v>
      </c>
    </row>
    <row r="53" spans="1:17" x14ac:dyDescent="0.3">
      <c r="A53">
        <v>78</v>
      </c>
      <c r="B53" t="s">
        <v>108</v>
      </c>
      <c r="C53" t="s">
        <v>211</v>
      </c>
      <c r="D53" t="s">
        <v>30</v>
      </c>
      <c r="E53">
        <v>2024</v>
      </c>
      <c r="F53" t="s">
        <v>31</v>
      </c>
      <c r="G53" t="s">
        <v>199</v>
      </c>
      <c r="H53" s="1">
        <v>45635</v>
      </c>
      <c r="I53" t="s">
        <v>156</v>
      </c>
      <c r="J53" t="s">
        <v>147</v>
      </c>
      <c r="K53" s="45">
        <v>55041</v>
      </c>
      <c r="L53" s="2">
        <v>46033.365393518521</v>
      </c>
      <c r="M53" t="s">
        <v>246</v>
      </c>
      <c r="N53" t="s">
        <v>244</v>
      </c>
      <c r="O53" s="44">
        <f>+VLOOKUP(B53,'Dep TCCI'!$I$3:$AC$117,2,FALSE)</f>
        <v>44782.095238095237</v>
      </c>
      <c r="P53" s="44">
        <f ca="1">+VLOOKUP(B53,'Dep TCCI'!$I$3:$AC$117,20,FALSE)</f>
        <v>11521.396825396825</v>
      </c>
      <c r="Q53" s="44">
        <f t="shared" ca="1" si="1"/>
        <v>33260.69841269841</v>
      </c>
    </row>
    <row r="54" spans="1:17" x14ac:dyDescent="0.3">
      <c r="A54">
        <v>79</v>
      </c>
      <c r="B54" t="s">
        <v>109</v>
      </c>
      <c r="C54" t="s">
        <v>212</v>
      </c>
      <c r="D54" t="s">
        <v>30</v>
      </c>
      <c r="E54">
        <v>2024</v>
      </c>
      <c r="F54" t="s">
        <v>31</v>
      </c>
      <c r="G54" t="s">
        <v>199</v>
      </c>
      <c r="H54" s="1">
        <v>45635</v>
      </c>
      <c r="I54" t="s">
        <v>156</v>
      </c>
      <c r="J54" t="s">
        <v>147</v>
      </c>
      <c r="K54" s="45">
        <v>42653</v>
      </c>
      <c r="L54" s="2">
        <v>46052.805844907409</v>
      </c>
      <c r="M54" t="s">
        <v>246</v>
      </c>
      <c r="N54" t="s">
        <v>244</v>
      </c>
      <c r="O54" s="44">
        <f>+VLOOKUP(B54,'Dep TCCI'!$I$3:$AC$117,2,FALSE)</f>
        <v>44782.095238095237</v>
      </c>
      <c r="P54" s="44">
        <f ca="1">+VLOOKUP(B54,'Dep TCCI'!$I$3:$AC$117,20,FALSE)</f>
        <v>11521.396825396825</v>
      </c>
      <c r="Q54" s="44">
        <f t="shared" ca="1" si="1"/>
        <v>33260.69841269841</v>
      </c>
    </row>
    <row r="55" spans="1:17" x14ac:dyDescent="0.3">
      <c r="A55">
        <v>80</v>
      </c>
      <c r="B55" t="s">
        <v>110</v>
      </c>
      <c r="C55" t="s">
        <v>213</v>
      </c>
      <c r="D55" t="s">
        <v>30</v>
      </c>
      <c r="E55">
        <v>2024</v>
      </c>
      <c r="F55" t="s">
        <v>31</v>
      </c>
      <c r="G55" t="s">
        <v>190</v>
      </c>
      <c r="H55" s="1">
        <v>45635</v>
      </c>
      <c r="I55" t="s">
        <v>146</v>
      </c>
      <c r="J55" t="s">
        <v>147</v>
      </c>
      <c r="K55" s="45">
        <v>42409</v>
      </c>
      <c r="L55" s="2">
        <v>46019.851365740738</v>
      </c>
      <c r="M55" t="s">
        <v>246</v>
      </c>
      <c r="N55" t="s">
        <v>244</v>
      </c>
      <c r="O55" s="44">
        <f>+VLOOKUP(B55,'Dep TCCI'!$I$3:$AC$117,2,FALSE)</f>
        <v>44782.095238095237</v>
      </c>
      <c r="P55" s="44">
        <f ca="1">+VLOOKUP(B55,'Dep TCCI'!$I$3:$AC$117,20,FALSE)</f>
        <v>12241.484126984127</v>
      </c>
      <c r="Q55" s="44">
        <f t="shared" ca="1" si="1"/>
        <v>32540.611111111109</v>
      </c>
    </row>
    <row r="56" spans="1:17" x14ac:dyDescent="0.3">
      <c r="A56">
        <v>81</v>
      </c>
      <c r="B56" t="s">
        <v>111</v>
      </c>
      <c r="C56" t="s">
        <v>214</v>
      </c>
      <c r="D56" t="s">
        <v>30</v>
      </c>
      <c r="E56">
        <v>2024</v>
      </c>
      <c r="F56" t="s">
        <v>31</v>
      </c>
      <c r="G56" t="s">
        <v>190</v>
      </c>
      <c r="H56" s="1">
        <v>45635</v>
      </c>
      <c r="I56" t="s">
        <v>146</v>
      </c>
      <c r="J56" t="s">
        <v>147</v>
      </c>
      <c r="K56" s="45">
        <v>50148</v>
      </c>
      <c r="L56" s="2">
        <v>46033.96025462963</v>
      </c>
      <c r="M56" t="s">
        <v>246</v>
      </c>
      <c r="N56" t="s">
        <v>244</v>
      </c>
      <c r="O56" s="44">
        <f>+VLOOKUP(B56,'Dep TCCI'!$I$3:$AC$117,2,FALSE)</f>
        <v>44782.095238095237</v>
      </c>
      <c r="P56" s="44">
        <f ca="1">+VLOOKUP(B56,'Dep TCCI'!$I$3:$AC$117,20,FALSE)</f>
        <v>12241.484126984127</v>
      </c>
      <c r="Q56" s="44">
        <f t="shared" ca="1" si="1"/>
        <v>32540.611111111109</v>
      </c>
    </row>
    <row r="57" spans="1:17" x14ac:dyDescent="0.3">
      <c r="A57">
        <v>82</v>
      </c>
      <c r="B57" t="s">
        <v>112</v>
      </c>
      <c r="C57" t="s">
        <v>215</v>
      </c>
      <c r="D57" t="s">
        <v>30</v>
      </c>
      <c r="E57">
        <v>2024</v>
      </c>
      <c r="F57" t="s">
        <v>31</v>
      </c>
      <c r="G57" t="s">
        <v>190</v>
      </c>
      <c r="H57" s="1">
        <v>45635</v>
      </c>
      <c r="I57" t="s">
        <v>146</v>
      </c>
      <c r="J57" t="s">
        <v>147</v>
      </c>
      <c r="K57" s="45">
        <v>52597</v>
      </c>
      <c r="L57" s="2">
        <v>46007.486168981479</v>
      </c>
      <c r="M57" t="s">
        <v>246</v>
      </c>
      <c r="N57" t="s">
        <v>244</v>
      </c>
      <c r="O57" s="44">
        <f>+VLOOKUP(B57,'Dep TCCI'!$I$3:$AC$117,2,FALSE)</f>
        <v>44782.095238095237</v>
      </c>
      <c r="P57" s="44">
        <f ca="1">+VLOOKUP(B57,'Dep TCCI'!$I$3:$AC$117,20,FALSE)</f>
        <v>12241.484126984127</v>
      </c>
      <c r="Q57" s="44">
        <f t="shared" ca="1" si="1"/>
        <v>32540.611111111109</v>
      </c>
    </row>
    <row r="58" spans="1:17" x14ac:dyDescent="0.3">
      <c r="A58">
        <v>83</v>
      </c>
      <c r="B58" t="s">
        <v>113</v>
      </c>
      <c r="C58" t="s">
        <v>216</v>
      </c>
      <c r="D58" t="s">
        <v>30</v>
      </c>
      <c r="E58">
        <v>2024</v>
      </c>
      <c r="F58" t="s">
        <v>31</v>
      </c>
      <c r="G58" t="s">
        <v>199</v>
      </c>
      <c r="H58" s="1">
        <v>45635</v>
      </c>
      <c r="I58" t="s">
        <v>146</v>
      </c>
      <c r="J58" t="s">
        <v>147</v>
      </c>
      <c r="K58" s="45">
        <v>57557</v>
      </c>
      <c r="L58" s="2">
        <v>46043.535810185182</v>
      </c>
      <c r="M58" t="s">
        <v>246</v>
      </c>
      <c r="N58" t="s">
        <v>244</v>
      </c>
      <c r="O58" s="44">
        <f>+VLOOKUP(B58,'Dep TCCI'!$I$3:$AC$117,2,FALSE)</f>
        <v>44782.095238095237</v>
      </c>
      <c r="P58" s="44">
        <f ca="1">+VLOOKUP(B58,'Dep TCCI'!$I$3:$AC$117,20,FALSE)</f>
        <v>12241.484126984127</v>
      </c>
      <c r="Q58" s="44">
        <f t="shared" ca="1" si="1"/>
        <v>32540.611111111109</v>
      </c>
    </row>
    <row r="59" spans="1:17" x14ac:dyDescent="0.3">
      <c r="A59">
        <v>84</v>
      </c>
      <c r="B59" t="s">
        <v>114</v>
      </c>
      <c r="C59" t="s">
        <v>217</v>
      </c>
      <c r="D59" t="s">
        <v>30</v>
      </c>
      <c r="E59">
        <v>2024</v>
      </c>
      <c r="F59" t="s">
        <v>31</v>
      </c>
      <c r="G59" t="s">
        <v>199</v>
      </c>
      <c r="H59" s="1">
        <v>45635</v>
      </c>
      <c r="I59" t="s">
        <v>146</v>
      </c>
      <c r="J59" t="s">
        <v>147</v>
      </c>
      <c r="K59" s="45">
        <v>45460</v>
      </c>
      <c r="L59" s="2">
        <v>46043.535763888889</v>
      </c>
      <c r="M59" t="s">
        <v>246</v>
      </c>
      <c r="N59" t="s">
        <v>244</v>
      </c>
      <c r="O59" s="44">
        <f>+VLOOKUP(B59,'Dep TCCI'!$I$3:$AC$117,2,FALSE)</f>
        <v>44782.095238095237</v>
      </c>
      <c r="P59" s="44">
        <f ca="1">+VLOOKUP(B59,'Dep TCCI'!$I$3:$AC$117,20,FALSE)</f>
        <v>12241.484126984127</v>
      </c>
      <c r="Q59" s="44">
        <f t="shared" ca="1" si="1"/>
        <v>32540.611111111109</v>
      </c>
    </row>
    <row r="60" spans="1:17" x14ac:dyDescent="0.3">
      <c r="A60">
        <v>85</v>
      </c>
      <c r="B60" t="s">
        <v>115</v>
      </c>
      <c r="C60" t="s">
        <v>218</v>
      </c>
      <c r="D60" t="s">
        <v>30</v>
      </c>
      <c r="E60">
        <v>2024</v>
      </c>
      <c r="F60" t="s">
        <v>31</v>
      </c>
      <c r="G60" t="s">
        <v>199</v>
      </c>
      <c r="H60" s="1">
        <v>45635</v>
      </c>
      <c r="I60" t="s">
        <v>146</v>
      </c>
      <c r="J60" t="s">
        <v>147</v>
      </c>
      <c r="K60" s="45">
        <v>46086</v>
      </c>
      <c r="L60" s="2">
        <v>46048.641909722224</v>
      </c>
      <c r="M60" t="s">
        <v>246</v>
      </c>
      <c r="N60" t="s">
        <v>244</v>
      </c>
      <c r="O60" s="44">
        <f>+VLOOKUP(B60,'Dep TCCI'!$I$3:$AC$117,2,FALSE)</f>
        <v>44782.095238095237</v>
      </c>
      <c r="P60" s="44">
        <f ca="1">+VLOOKUP(B60,'Dep TCCI'!$I$3:$AC$117,20,FALSE)</f>
        <v>12241.484126984127</v>
      </c>
      <c r="Q60" s="44">
        <f t="shared" ca="1" si="1"/>
        <v>32540.611111111109</v>
      </c>
    </row>
    <row r="61" spans="1:17" x14ac:dyDescent="0.3">
      <c r="A61">
        <v>86</v>
      </c>
      <c r="B61" t="s">
        <v>116</v>
      </c>
      <c r="C61" t="s">
        <v>219</v>
      </c>
      <c r="D61" t="s">
        <v>30</v>
      </c>
      <c r="E61">
        <v>2024</v>
      </c>
      <c r="F61" t="s">
        <v>31</v>
      </c>
      <c r="G61" t="s">
        <v>199</v>
      </c>
      <c r="H61" s="1">
        <v>45635</v>
      </c>
      <c r="I61" t="s">
        <v>146</v>
      </c>
      <c r="J61" t="s">
        <v>147</v>
      </c>
      <c r="K61" s="45">
        <v>58581</v>
      </c>
      <c r="L61" s="2">
        <v>46052.680208333331</v>
      </c>
      <c r="M61" t="s">
        <v>246</v>
      </c>
      <c r="N61" t="s">
        <v>244</v>
      </c>
      <c r="O61" s="44">
        <f>+VLOOKUP(B61,'Dep TCCI'!$I$3:$AC$117,2,FALSE)</f>
        <v>44782.095238095237</v>
      </c>
      <c r="P61" s="44">
        <f ca="1">+VLOOKUP(B61,'Dep TCCI'!$I$3:$AC$117,20,FALSE)</f>
        <v>12241.484126984127</v>
      </c>
      <c r="Q61" s="44">
        <f t="shared" ca="1" si="1"/>
        <v>32540.611111111109</v>
      </c>
    </row>
    <row r="62" spans="1:17" x14ac:dyDescent="0.3">
      <c r="A62">
        <v>87</v>
      </c>
      <c r="B62" t="s">
        <v>117</v>
      </c>
      <c r="C62" t="s">
        <v>220</v>
      </c>
      <c r="D62" t="s">
        <v>30</v>
      </c>
      <c r="E62">
        <v>2024</v>
      </c>
      <c r="F62" t="s">
        <v>31</v>
      </c>
      <c r="G62" t="s">
        <v>199</v>
      </c>
      <c r="H62" s="1">
        <v>45635</v>
      </c>
      <c r="I62" t="s">
        <v>146</v>
      </c>
      <c r="J62" t="s">
        <v>147</v>
      </c>
      <c r="K62" s="45">
        <v>61719</v>
      </c>
      <c r="L62" s="2">
        <v>46035.606874999998</v>
      </c>
      <c r="M62" t="s">
        <v>246</v>
      </c>
      <c r="N62" t="s">
        <v>244</v>
      </c>
      <c r="O62" s="44">
        <f>+VLOOKUP(B62,'Dep TCCI'!$I$3:$AC$117,2,FALSE)</f>
        <v>44782.095238095237</v>
      </c>
      <c r="P62" s="44">
        <f ca="1">+VLOOKUP(B62,'Dep TCCI'!$I$3:$AC$117,20,FALSE)</f>
        <v>12241.484126984127</v>
      </c>
      <c r="Q62" s="44">
        <f t="shared" ca="1" si="1"/>
        <v>32540.611111111109</v>
      </c>
    </row>
    <row r="63" spans="1:17" x14ac:dyDescent="0.3">
      <c r="A63">
        <v>88</v>
      </c>
      <c r="B63" t="s">
        <v>118</v>
      </c>
      <c r="C63" t="s">
        <v>221</v>
      </c>
      <c r="D63" t="s">
        <v>30</v>
      </c>
      <c r="E63">
        <v>2024</v>
      </c>
      <c r="F63" t="s">
        <v>31</v>
      </c>
      <c r="G63" t="s">
        <v>190</v>
      </c>
      <c r="H63" s="1">
        <v>45635</v>
      </c>
      <c r="I63" t="s">
        <v>153</v>
      </c>
      <c r="J63" t="s">
        <v>147</v>
      </c>
      <c r="K63" s="45">
        <v>56501</v>
      </c>
      <c r="L63" s="2">
        <v>46042.693356481483</v>
      </c>
      <c r="M63" t="s">
        <v>246</v>
      </c>
      <c r="N63" t="s">
        <v>245</v>
      </c>
      <c r="O63" s="44">
        <f>+VLOOKUP(B63,'Dep TCCI'!$I$3:$AC$117,2,FALSE)</f>
        <v>44782.095238095237</v>
      </c>
      <c r="P63" s="44">
        <f ca="1">+VLOOKUP(B63,'Dep TCCI'!$I$3:$AC$117,20,FALSE)</f>
        <v>11521.396825396825</v>
      </c>
      <c r="Q63" s="44">
        <f t="shared" ca="1" si="1"/>
        <v>33260.69841269841</v>
      </c>
    </row>
    <row r="64" spans="1:17" x14ac:dyDescent="0.3">
      <c r="A64">
        <v>89</v>
      </c>
      <c r="B64" t="s">
        <v>119</v>
      </c>
      <c r="C64" t="s">
        <v>222</v>
      </c>
      <c r="D64" t="s">
        <v>30</v>
      </c>
      <c r="E64">
        <v>2024</v>
      </c>
      <c r="F64" t="s">
        <v>31</v>
      </c>
      <c r="G64" t="s">
        <v>190</v>
      </c>
      <c r="H64" s="1">
        <v>45635</v>
      </c>
      <c r="I64" t="s">
        <v>153</v>
      </c>
      <c r="J64" t="s">
        <v>147</v>
      </c>
      <c r="K64" s="45">
        <v>55922</v>
      </c>
      <c r="L64" s="2">
        <v>46044.620150462964</v>
      </c>
      <c r="M64" t="s">
        <v>246</v>
      </c>
      <c r="N64" t="s">
        <v>244</v>
      </c>
      <c r="O64" s="44">
        <f>+VLOOKUP(B64,'Dep TCCI'!$I$3:$AC$117,2,FALSE)</f>
        <v>44782.095238095237</v>
      </c>
      <c r="P64" s="44">
        <f ca="1">+VLOOKUP(B64,'Dep TCCI'!$I$3:$AC$117,20,FALSE)</f>
        <v>11521.396825396825</v>
      </c>
      <c r="Q64" s="44">
        <f t="shared" ca="1" si="1"/>
        <v>33260.69841269841</v>
      </c>
    </row>
    <row r="65" spans="1:17" x14ac:dyDescent="0.3">
      <c r="A65">
        <v>90</v>
      </c>
      <c r="B65" t="s">
        <v>120</v>
      </c>
      <c r="C65" t="s">
        <v>223</v>
      </c>
      <c r="D65" t="s">
        <v>30</v>
      </c>
      <c r="E65">
        <v>2024</v>
      </c>
      <c r="F65" t="s">
        <v>31</v>
      </c>
      <c r="G65" t="s">
        <v>199</v>
      </c>
      <c r="H65" s="1">
        <v>45663</v>
      </c>
      <c r="I65" t="s">
        <v>153</v>
      </c>
      <c r="J65" t="s">
        <v>147</v>
      </c>
      <c r="K65" s="45">
        <v>75480</v>
      </c>
      <c r="L65" s="2">
        <v>46056.584189814814</v>
      </c>
      <c r="M65" t="s">
        <v>246</v>
      </c>
      <c r="N65" t="s">
        <v>245</v>
      </c>
      <c r="O65" s="44">
        <f>+VLOOKUP(B65,'Dep TCCI'!$I$3:$AC$117,2,FALSE)</f>
        <v>44782.095238095237</v>
      </c>
      <c r="P65" s="44">
        <f ca="1">+VLOOKUP(B65,'Dep TCCI'!$I$3:$AC$117,20,FALSE)</f>
        <v>11521.396825396825</v>
      </c>
      <c r="Q65" s="44">
        <f t="shared" ca="1" si="1"/>
        <v>33260.69841269841</v>
      </c>
    </row>
    <row r="66" spans="1:17" x14ac:dyDescent="0.3">
      <c r="A66">
        <v>91</v>
      </c>
      <c r="B66" t="s">
        <v>121</v>
      </c>
      <c r="C66" t="s">
        <v>224</v>
      </c>
      <c r="D66" t="s">
        <v>30</v>
      </c>
      <c r="E66">
        <v>2024</v>
      </c>
      <c r="F66" t="s">
        <v>31</v>
      </c>
      <c r="G66" t="s">
        <v>199</v>
      </c>
      <c r="H66" s="1">
        <v>45663</v>
      </c>
      <c r="I66" t="s">
        <v>153</v>
      </c>
      <c r="J66" t="s">
        <v>147</v>
      </c>
      <c r="K66" s="45">
        <v>58643</v>
      </c>
      <c r="L66" s="2">
        <v>46020.646956018521</v>
      </c>
      <c r="M66" t="s">
        <v>246</v>
      </c>
      <c r="N66" t="s">
        <v>244</v>
      </c>
      <c r="O66" s="44">
        <f>+VLOOKUP(B66,'Dep TCCI'!$I$3:$AC$117,2,FALSE)</f>
        <v>44782.095238095237</v>
      </c>
      <c r="P66" s="44">
        <f ca="1">+VLOOKUP(B66,'Dep TCCI'!$I$3:$AC$117,20,FALSE)</f>
        <v>11521.396825396825</v>
      </c>
      <c r="Q66" s="44">
        <f t="shared" ca="1" si="1"/>
        <v>33260.69841269841</v>
      </c>
    </row>
    <row r="67" spans="1:17" x14ac:dyDescent="0.3">
      <c r="A67">
        <v>92</v>
      </c>
      <c r="B67" t="s">
        <v>122</v>
      </c>
      <c r="C67" t="s">
        <v>225</v>
      </c>
      <c r="D67" t="s">
        <v>30</v>
      </c>
      <c r="E67">
        <v>2024</v>
      </c>
      <c r="F67" t="s">
        <v>31</v>
      </c>
      <c r="G67" t="s">
        <v>199</v>
      </c>
      <c r="H67" s="1">
        <v>45663</v>
      </c>
      <c r="I67" t="s">
        <v>153</v>
      </c>
      <c r="J67" t="s">
        <v>147</v>
      </c>
      <c r="K67" s="45">
        <v>63299</v>
      </c>
      <c r="L67" s="2">
        <v>46016.503738425927</v>
      </c>
      <c r="M67" t="s">
        <v>246</v>
      </c>
      <c r="N67" t="s">
        <v>244</v>
      </c>
      <c r="O67" s="44">
        <f>+VLOOKUP(B67,'Dep TCCI'!$I$3:$AC$117,2,FALSE)</f>
        <v>44782.095238095237</v>
      </c>
      <c r="P67" s="44">
        <f ca="1">+VLOOKUP(B67,'Dep TCCI'!$I$3:$AC$117,20,FALSE)</f>
        <v>11521.396825396825</v>
      </c>
      <c r="Q67" s="44">
        <f t="shared" ca="1" si="1"/>
        <v>33260.69841269841</v>
      </c>
    </row>
    <row r="68" spans="1:17" x14ac:dyDescent="0.3">
      <c r="A68">
        <v>93</v>
      </c>
      <c r="B68" t="s">
        <v>123</v>
      </c>
      <c r="C68" t="s">
        <v>226</v>
      </c>
      <c r="D68" t="s">
        <v>30</v>
      </c>
      <c r="E68">
        <v>2024</v>
      </c>
      <c r="F68" t="s">
        <v>31</v>
      </c>
      <c r="G68" t="s">
        <v>199</v>
      </c>
      <c r="H68" s="1">
        <v>45663</v>
      </c>
      <c r="I68" t="s">
        <v>153</v>
      </c>
      <c r="J68" t="s">
        <v>147</v>
      </c>
      <c r="K68" s="45">
        <v>63888</v>
      </c>
      <c r="L68" s="2">
        <v>46048.477280092593</v>
      </c>
      <c r="M68" t="s">
        <v>246</v>
      </c>
      <c r="N68" t="s">
        <v>245</v>
      </c>
      <c r="O68" s="44">
        <f>+VLOOKUP(B68,'Dep TCCI'!$I$3:$AC$117,2,FALSE)</f>
        <v>44782.095238095237</v>
      </c>
      <c r="P68" s="44">
        <f ca="1">+VLOOKUP(B68,'Dep TCCI'!$I$3:$AC$117,20,FALSE)</f>
        <v>11521.396825396825</v>
      </c>
      <c r="Q68" s="44">
        <f t="shared" ca="1" si="1"/>
        <v>33260.69841269841</v>
      </c>
    </row>
    <row r="69" spans="1:17" x14ac:dyDescent="0.3">
      <c r="A69">
        <v>94</v>
      </c>
      <c r="B69" t="s">
        <v>61</v>
      </c>
      <c r="C69" t="s">
        <v>227</v>
      </c>
      <c r="D69" t="s">
        <v>30</v>
      </c>
      <c r="E69">
        <v>2025</v>
      </c>
      <c r="F69" t="s">
        <v>31</v>
      </c>
      <c r="G69" t="s">
        <v>190</v>
      </c>
      <c r="H69" s="1">
        <v>45759</v>
      </c>
      <c r="I69" t="s">
        <v>182</v>
      </c>
      <c r="J69" t="s">
        <v>32</v>
      </c>
      <c r="K69" s="45">
        <v>40707</v>
      </c>
      <c r="L69" s="2">
        <v>46034.377465277779</v>
      </c>
      <c r="M69" t="s">
        <v>246</v>
      </c>
      <c r="N69" t="s">
        <v>244</v>
      </c>
      <c r="O69" s="44">
        <f>+VLOOKUP(B69,'Dep TCCI'!$I$3:$AC$117,2,FALSE)</f>
        <v>45770</v>
      </c>
      <c r="P69" s="44">
        <f ca="1">+VLOOKUP(B69,'Dep TCCI'!$I$3:$AC$117,20,FALSE)</f>
        <v>13690.833333333332</v>
      </c>
      <c r="Q69" s="44">
        <f t="shared" ca="1" si="1"/>
        <v>32079.166666666668</v>
      </c>
    </row>
    <row r="70" spans="1:17" x14ac:dyDescent="0.3">
      <c r="A70">
        <v>95</v>
      </c>
      <c r="B70" t="s">
        <v>62</v>
      </c>
      <c r="C70" t="s">
        <v>228</v>
      </c>
      <c r="D70" t="s">
        <v>30</v>
      </c>
      <c r="E70">
        <v>2025</v>
      </c>
      <c r="F70" t="s">
        <v>31</v>
      </c>
      <c r="G70" t="s">
        <v>199</v>
      </c>
      <c r="H70" s="1">
        <v>45759</v>
      </c>
      <c r="I70" t="s">
        <v>182</v>
      </c>
      <c r="J70" t="s">
        <v>32</v>
      </c>
      <c r="K70" s="45">
        <v>56285</v>
      </c>
      <c r="L70" s="2">
        <v>46041.605925925927</v>
      </c>
      <c r="M70" t="s">
        <v>246</v>
      </c>
      <c r="N70" t="s">
        <v>244</v>
      </c>
      <c r="O70" s="44">
        <f>+VLOOKUP(B70,'Dep TCCI'!$I$3:$AC$117,2,FALSE)</f>
        <v>45770</v>
      </c>
      <c r="P70" s="44">
        <f ca="1">+VLOOKUP(B70,'Dep TCCI'!$I$3:$AC$117,20,FALSE)</f>
        <v>13690.833333333332</v>
      </c>
      <c r="Q70" s="44">
        <f t="shared" ca="1" si="1"/>
        <v>32079.166666666668</v>
      </c>
    </row>
    <row r="71" spans="1:17" x14ac:dyDescent="0.3">
      <c r="A71">
        <v>96</v>
      </c>
      <c r="B71" t="s">
        <v>63</v>
      </c>
      <c r="C71" t="s">
        <v>229</v>
      </c>
      <c r="D71" t="s">
        <v>30</v>
      </c>
      <c r="E71">
        <v>2025</v>
      </c>
      <c r="F71" t="s">
        <v>31</v>
      </c>
      <c r="G71" t="s">
        <v>199</v>
      </c>
      <c r="H71" s="1">
        <v>45759</v>
      </c>
      <c r="I71" t="s">
        <v>182</v>
      </c>
      <c r="J71" t="s">
        <v>32</v>
      </c>
      <c r="K71" s="45">
        <v>63144</v>
      </c>
      <c r="L71" s="2">
        <v>46054.822326388887</v>
      </c>
      <c r="M71" t="s">
        <v>246</v>
      </c>
      <c r="N71" t="s">
        <v>244</v>
      </c>
      <c r="O71" s="44">
        <f>+VLOOKUP(B71,'Dep TCCI'!$I$3:$AC$117,2,FALSE)</f>
        <v>45770</v>
      </c>
      <c r="P71" s="44">
        <f ca="1">+VLOOKUP(B71,'Dep TCCI'!$I$3:$AC$117,20,FALSE)</f>
        <v>13690.833333333332</v>
      </c>
      <c r="Q71" s="44">
        <f t="shared" ca="1" si="1"/>
        <v>32079.166666666668</v>
      </c>
    </row>
    <row r="72" spans="1:17" x14ac:dyDescent="0.3">
      <c r="A72">
        <v>97</v>
      </c>
      <c r="B72" t="s">
        <v>73</v>
      </c>
      <c r="C72" t="s">
        <v>230</v>
      </c>
      <c r="D72" t="s">
        <v>30</v>
      </c>
      <c r="E72">
        <v>2025</v>
      </c>
      <c r="F72" t="s">
        <v>31</v>
      </c>
      <c r="G72" t="s">
        <v>190</v>
      </c>
      <c r="H72" s="1">
        <v>45761</v>
      </c>
      <c r="I72" t="s">
        <v>182</v>
      </c>
      <c r="J72" t="s">
        <v>32</v>
      </c>
      <c r="K72" s="45">
        <v>52502</v>
      </c>
      <c r="L72" s="2">
        <v>46057.790312500001</v>
      </c>
      <c r="M72" t="s">
        <v>246</v>
      </c>
      <c r="N72" t="s">
        <v>244</v>
      </c>
      <c r="O72" s="44">
        <f>+VLOOKUP(B72,'Dep TCCI'!$I$3:$AC$117,2,FALSE)</f>
        <v>46243</v>
      </c>
      <c r="P72" s="44">
        <f ca="1">+VLOOKUP(B72,'Dep TCCI'!$I$3:$AC$117,20,FALSE)</f>
        <v>13558.416666666668</v>
      </c>
      <c r="Q72" s="44">
        <f t="shared" ca="1" si="1"/>
        <v>32684.583333333332</v>
      </c>
    </row>
    <row r="73" spans="1:17" x14ac:dyDescent="0.3">
      <c r="A73">
        <v>98</v>
      </c>
      <c r="B73" t="s">
        <v>72</v>
      </c>
      <c r="C73" t="s">
        <v>231</v>
      </c>
      <c r="D73" t="s">
        <v>30</v>
      </c>
      <c r="E73">
        <v>2025</v>
      </c>
      <c r="F73" t="s">
        <v>31</v>
      </c>
      <c r="G73" t="s">
        <v>199</v>
      </c>
      <c r="H73" s="1">
        <v>45762</v>
      </c>
      <c r="I73" t="s">
        <v>182</v>
      </c>
      <c r="J73" t="s">
        <v>32</v>
      </c>
      <c r="K73" s="45">
        <v>60161</v>
      </c>
      <c r="L73" s="2">
        <v>46034.681620370371</v>
      </c>
      <c r="M73" t="s">
        <v>246</v>
      </c>
      <c r="N73" t="s">
        <v>244</v>
      </c>
      <c r="O73" s="44">
        <f>+VLOOKUP(B73,'Dep TCCI'!$I$3:$AC$117,2,FALSE)</f>
        <v>46243</v>
      </c>
      <c r="P73" s="44">
        <f ca="1">+VLOOKUP(B73,'Dep TCCI'!$I$3:$AC$117,20,FALSE)</f>
        <v>13558.416666666668</v>
      </c>
      <c r="Q73" s="44">
        <f t="shared" ca="1" si="1"/>
        <v>32684.583333333332</v>
      </c>
    </row>
    <row r="74" spans="1:17" x14ac:dyDescent="0.3">
      <c r="A74">
        <v>99</v>
      </c>
      <c r="B74" t="s">
        <v>64</v>
      </c>
      <c r="C74" t="s">
        <v>232</v>
      </c>
      <c r="D74" t="s">
        <v>30</v>
      </c>
      <c r="E74">
        <v>2025</v>
      </c>
      <c r="F74" t="s">
        <v>31</v>
      </c>
      <c r="G74" t="s">
        <v>199</v>
      </c>
      <c r="H74" s="1">
        <v>45764</v>
      </c>
      <c r="I74" t="s">
        <v>146</v>
      </c>
      <c r="J74" t="s">
        <v>32</v>
      </c>
      <c r="K74" s="45">
        <v>27323</v>
      </c>
      <c r="L74" s="2">
        <v>46052.135231481479</v>
      </c>
      <c r="M74" t="s">
        <v>246</v>
      </c>
      <c r="N74" t="s">
        <v>244</v>
      </c>
      <c r="O74" s="44">
        <f>+VLOOKUP(B74,'Dep TCCI'!$I$3:$AC$117,2,FALSE)</f>
        <v>45770</v>
      </c>
      <c r="P74" s="44">
        <f ca="1">+VLOOKUP(B74,'Dep TCCI'!$I$3:$AC$117,20,FALSE)</f>
        <v>13690.833333333332</v>
      </c>
      <c r="Q74" s="44">
        <f t="shared" ca="1" si="1"/>
        <v>32079.166666666668</v>
      </c>
    </row>
    <row r="75" spans="1:17" x14ac:dyDescent="0.3">
      <c r="A75">
        <v>100</v>
      </c>
      <c r="B75" t="s">
        <v>65</v>
      </c>
      <c r="C75" t="s">
        <v>233</v>
      </c>
      <c r="D75" t="s">
        <v>30</v>
      </c>
      <c r="E75">
        <v>2025</v>
      </c>
      <c r="F75" t="s">
        <v>31</v>
      </c>
      <c r="G75" t="s">
        <v>199</v>
      </c>
      <c r="H75" s="1">
        <v>45764</v>
      </c>
      <c r="I75" t="s">
        <v>146</v>
      </c>
      <c r="J75" t="s">
        <v>32</v>
      </c>
      <c r="K75" s="45">
        <v>41997</v>
      </c>
      <c r="L75" s="2">
        <v>46045.461076388892</v>
      </c>
      <c r="M75" t="s">
        <v>246</v>
      </c>
      <c r="N75" t="s">
        <v>244</v>
      </c>
      <c r="O75" s="44">
        <f>+VLOOKUP(B75,'Dep TCCI'!$I$3:$AC$117,2,FALSE)</f>
        <v>45770</v>
      </c>
      <c r="P75" s="44">
        <f ca="1">+VLOOKUP(B75,'Dep TCCI'!$I$3:$AC$117,20,FALSE)</f>
        <v>13690.833333333332</v>
      </c>
      <c r="Q75" s="44">
        <f t="shared" ca="1" si="1"/>
        <v>32079.166666666668</v>
      </c>
    </row>
    <row r="76" spans="1:17" x14ac:dyDescent="0.3">
      <c r="A76">
        <v>101</v>
      </c>
      <c r="B76" t="s">
        <v>75</v>
      </c>
      <c r="C76" t="s">
        <v>234</v>
      </c>
      <c r="D76" t="s">
        <v>30</v>
      </c>
      <c r="E76">
        <v>2025</v>
      </c>
      <c r="F76" t="s">
        <v>31</v>
      </c>
      <c r="G76" t="s">
        <v>199</v>
      </c>
      <c r="H76" s="1">
        <v>45764</v>
      </c>
      <c r="I76" t="s">
        <v>146</v>
      </c>
      <c r="J76" t="s">
        <v>32</v>
      </c>
      <c r="K76" s="45">
        <v>27810</v>
      </c>
      <c r="L76" s="2">
        <v>46048.661365740743</v>
      </c>
      <c r="M76" t="s">
        <v>246</v>
      </c>
      <c r="N76" t="s">
        <v>244</v>
      </c>
      <c r="O76" s="44">
        <f>+VLOOKUP(B76,'Dep TCCI'!$I$3:$AC$117,2,FALSE)</f>
        <v>46243</v>
      </c>
      <c r="P76" s="44">
        <f ca="1">+VLOOKUP(B76,'Dep TCCI'!$I$3:$AC$117,20,FALSE)</f>
        <v>13558.416666666668</v>
      </c>
      <c r="Q76" s="44">
        <f t="shared" ca="1" si="1"/>
        <v>32684.583333333332</v>
      </c>
    </row>
    <row r="77" spans="1:17" x14ac:dyDescent="0.3">
      <c r="A77">
        <v>102</v>
      </c>
      <c r="B77" t="s">
        <v>74</v>
      </c>
      <c r="C77" t="s">
        <v>235</v>
      </c>
      <c r="D77" t="s">
        <v>30</v>
      </c>
      <c r="E77">
        <v>2025</v>
      </c>
      <c r="F77" t="s">
        <v>31</v>
      </c>
      <c r="G77" t="s">
        <v>199</v>
      </c>
      <c r="H77" s="1">
        <v>45764</v>
      </c>
      <c r="I77" t="s">
        <v>146</v>
      </c>
      <c r="J77" t="s">
        <v>32</v>
      </c>
      <c r="K77" s="45">
        <v>28245</v>
      </c>
      <c r="L77" s="2">
        <v>46055.54074074074</v>
      </c>
      <c r="M77" t="s">
        <v>246</v>
      </c>
      <c r="N77" t="s">
        <v>244</v>
      </c>
      <c r="O77" s="44">
        <f>+VLOOKUP(B77,'Dep TCCI'!$I$3:$AC$117,2,FALSE)</f>
        <v>46243</v>
      </c>
      <c r="P77" s="44">
        <f ca="1">+VLOOKUP(B77,'Dep TCCI'!$I$3:$AC$117,20,FALSE)</f>
        <v>13558.416666666668</v>
      </c>
      <c r="Q77" s="44">
        <f t="shared" ca="1" si="1"/>
        <v>32684.583333333332</v>
      </c>
    </row>
    <row r="78" spans="1:17" x14ac:dyDescent="0.3">
      <c r="A78">
        <v>105</v>
      </c>
      <c r="B78" t="s">
        <v>66</v>
      </c>
      <c r="C78" t="s">
        <v>236</v>
      </c>
      <c r="D78" t="s">
        <v>30</v>
      </c>
      <c r="E78">
        <v>2025</v>
      </c>
      <c r="F78" t="s">
        <v>31</v>
      </c>
      <c r="G78" t="s">
        <v>190</v>
      </c>
      <c r="H78" s="1">
        <v>45764</v>
      </c>
      <c r="I78" t="s">
        <v>156</v>
      </c>
      <c r="J78" t="s">
        <v>32</v>
      </c>
      <c r="K78" s="45">
        <v>39031</v>
      </c>
      <c r="L78" s="2">
        <v>46044.596585648149</v>
      </c>
      <c r="M78" t="s">
        <v>246</v>
      </c>
      <c r="N78" t="s">
        <v>245</v>
      </c>
      <c r="O78" s="44">
        <f>+VLOOKUP(B78,'Dep TCCI'!$I$3:$AC$117,2,FALSE)</f>
        <v>45770</v>
      </c>
      <c r="P78" s="44">
        <f ca="1">+VLOOKUP(B78,'Dep TCCI'!$I$3:$AC$117,20,FALSE)</f>
        <v>13690.833333333332</v>
      </c>
      <c r="Q78" s="44">
        <f t="shared" ca="1" si="1"/>
        <v>32079.166666666668</v>
      </c>
    </row>
    <row r="79" spans="1:17" x14ac:dyDescent="0.3">
      <c r="A79">
        <v>106</v>
      </c>
      <c r="B79" t="s">
        <v>69</v>
      </c>
      <c r="C79" t="s">
        <v>237</v>
      </c>
      <c r="D79" t="s">
        <v>30</v>
      </c>
      <c r="E79">
        <v>2025</v>
      </c>
      <c r="F79" t="s">
        <v>31</v>
      </c>
      <c r="G79" t="s">
        <v>190</v>
      </c>
      <c r="H79" s="1">
        <v>45764</v>
      </c>
      <c r="I79" t="s">
        <v>156</v>
      </c>
      <c r="J79" t="s">
        <v>32</v>
      </c>
      <c r="K79" s="45">
        <v>31359</v>
      </c>
      <c r="L79" s="2">
        <v>46038.575995370367</v>
      </c>
      <c r="M79" t="s">
        <v>246</v>
      </c>
      <c r="N79" t="s">
        <v>245</v>
      </c>
      <c r="O79" s="44">
        <f>+VLOOKUP(B79,'Dep TCCI'!$I$3:$AC$117,2,FALSE)</f>
        <v>46243</v>
      </c>
      <c r="P79" s="44">
        <f ca="1">+VLOOKUP(B79,'Dep TCCI'!$I$3:$AC$117,20,FALSE)</f>
        <v>13558.416666666668</v>
      </c>
      <c r="Q79" s="44">
        <f t="shared" ca="1" si="1"/>
        <v>32684.583333333332</v>
      </c>
    </row>
    <row r="80" spans="1:17" x14ac:dyDescent="0.3">
      <c r="A80">
        <v>107</v>
      </c>
      <c r="B80" t="s">
        <v>71</v>
      </c>
      <c r="C80" t="s">
        <v>238</v>
      </c>
      <c r="D80" t="s">
        <v>30</v>
      </c>
      <c r="E80">
        <v>2025</v>
      </c>
      <c r="F80" t="s">
        <v>31</v>
      </c>
      <c r="G80" t="s">
        <v>190</v>
      </c>
      <c r="H80" s="1">
        <v>45764</v>
      </c>
      <c r="I80" t="s">
        <v>156</v>
      </c>
      <c r="J80" t="s">
        <v>32</v>
      </c>
      <c r="K80" s="45">
        <v>50128</v>
      </c>
      <c r="L80" s="2">
        <v>46045.555787037039</v>
      </c>
      <c r="M80" t="s">
        <v>246</v>
      </c>
      <c r="N80" t="s">
        <v>245</v>
      </c>
      <c r="O80" s="44">
        <f>+VLOOKUP(B80,'Dep TCCI'!$I$3:$AC$117,2,FALSE)</f>
        <v>46243</v>
      </c>
      <c r="P80" s="44">
        <f ca="1">+VLOOKUP(B80,'Dep TCCI'!$I$3:$AC$117,20,FALSE)</f>
        <v>13558.416666666668</v>
      </c>
      <c r="Q80" s="44">
        <f t="shared" ca="1" si="1"/>
        <v>32684.583333333332</v>
      </c>
    </row>
    <row r="81" spans="1:17" x14ac:dyDescent="0.3">
      <c r="A81">
        <v>108</v>
      </c>
      <c r="B81" t="s">
        <v>70</v>
      </c>
      <c r="C81" t="s">
        <v>239</v>
      </c>
      <c r="D81" t="s">
        <v>30</v>
      </c>
      <c r="E81">
        <v>2025</v>
      </c>
      <c r="F81" t="s">
        <v>31</v>
      </c>
      <c r="G81" t="s">
        <v>199</v>
      </c>
      <c r="H81" s="1">
        <v>45775</v>
      </c>
      <c r="I81" t="s">
        <v>156</v>
      </c>
      <c r="J81" t="s">
        <v>32</v>
      </c>
      <c r="K81" s="45">
        <v>47304</v>
      </c>
      <c r="L81" s="2">
        <v>46055.524965277778</v>
      </c>
      <c r="M81" t="s">
        <v>246</v>
      </c>
      <c r="N81" t="s">
        <v>245</v>
      </c>
      <c r="O81" s="44">
        <f>+VLOOKUP(B81,'Dep TCCI'!$I$3:$AC$117,2,FALSE)</f>
        <v>46243</v>
      </c>
      <c r="P81" s="44">
        <f ca="1">+VLOOKUP(B81,'Dep TCCI'!$I$3:$AC$117,20,FALSE)</f>
        <v>12589.958333333334</v>
      </c>
      <c r="Q81" s="44">
        <f t="shared" ca="1" si="1"/>
        <v>33653.041666666664</v>
      </c>
    </row>
    <row r="82" spans="1:17" x14ac:dyDescent="0.3">
      <c r="A82">
        <v>114</v>
      </c>
      <c r="B82" t="s">
        <v>67</v>
      </c>
      <c r="C82" t="s">
        <v>240</v>
      </c>
      <c r="D82" t="s">
        <v>30</v>
      </c>
      <c r="E82">
        <v>2025</v>
      </c>
      <c r="F82" t="s">
        <v>31</v>
      </c>
      <c r="G82" t="s">
        <v>190</v>
      </c>
      <c r="H82" s="1">
        <v>45768</v>
      </c>
      <c r="I82" t="s">
        <v>153</v>
      </c>
      <c r="J82" t="s">
        <v>32</v>
      </c>
      <c r="K82" s="45">
        <v>39974</v>
      </c>
      <c r="L82" s="2">
        <v>46037.62940972222</v>
      </c>
      <c r="M82" t="s">
        <v>246</v>
      </c>
      <c r="N82" t="s">
        <v>244</v>
      </c>
      <c r="O82" s="44">
        <f>+VLOOKUP(B82,'Dep TCCI'!$I$3:$AC$117,2,FALSE)</f>
        <v>45770</v>
      </c>
      <c r="P82" s="44">
        <f ca="1">+VLOOKUP(B82,'Dep TCCI'!$I$3:$AC$117,20,FALSE)</f>
        <v>12712.916666666666</v>
      </c>
      <c r="Q82" s="44">
        <f t="shared" ca="1" si="1"/>
        <v>33057.083333333336</v>
      </c>
    </row>
    <row r="83" spans="1:17" x14ac:dyDescent="0.3">
      <c r="A83">
        <v>115</v>
      </c>
      <c r="B83" t="s">
        <v>76</v>
      </c>
      <c r="C83" t="s">
        <v>196</v>
      </c>
      <c r="D83" t="s">
        <v>30</v>
      </c>
      <c r="E83">
        <v>2025</v>
      </c>
      <c r="F83" t="s">
        <v>31</v>
      </c>
      <c r="G83" t="s">
        <v>199</v>
      </c>
      <c r="H83" s="1">
        <v>45775</v>
      </c>
      <c r="I83" t="s">
        <v>153</v>
      </c>
      <c r="J83" t="s">
        <v>32</v>
      </c>
      <c r="K83" s="45">
        <v>53716</v>
      </c>
      <c r="L83" s="2">
        <v>46034.59003472222</v>
      </c>
      <c r="M83" t="s">
        <v>246</v>
      </c>
      <c r="N83" t="s">
        <v>244</v>
      </c>
      <c r="O83" s="44">
        <f>+VLOOKUP(B83,'Dep TCCI'!$I$3:$AC$117,2,FALSE)</f>
        <v>46243</v>
      </c>
      <c r="P83" s="44">
        <f ca="1">+VLOOKUP(B83,'Dep TCCI'!$I$3:$AC$117,20,FALSE)</f>
        <v>12589.958333333334</v>
      </c>
      <c r="Q83" s="44">
        <f t="shared" ca="1" si="1"/>
        <v>33653.041666666664</v>
      </c>
    </row>
    <row r="84" spans="1:17" x14ac:dyDescent="0.3">
      <c r="A84">
        <v>116</v>
      </c>
      <c r="B84" t="s">
        <v>77</v>
      </c>
      <c r="C84" t="s">
        <v>241</v>
      </c>
      <c r="D84" t="s">
        <v>30</v>
      </c>
      <c r="E84">
        <v>2025</v>
      </c>
      <c r="F84" t="s">
        <v>31</v>
      </c>
      <c r="G84" t="s">
        <v>179</v>
      </c>
      <c r="H84" s="1">
        <v>45770</v>
      </c>
      <c r="I84" t="s">
        <v>153</v>
      </c>
      <c r="J84" t="s">
        <v>32</v>
      </c>
      <c r="K84" s="45">
        <v>59351</v>
      </c>
      <c r="L84" s="2">
        <v>46043.619571759256</v>
      </c>
      <c r="M84" t="s">
        <v>246</v>
      </c>
      <c r="N84" t="s">
        <v>244</v>
      </c>
      <c r="O84" s="44">
        <f>+VLOOKUP(B84,'Dep TCCI'!$I$3:$AC$117,2,FALSE)</f>
        <v>46452</v>
      </c>
      <c r="P84" s="44">
        <f ca="1">+VLOOKUP(B84,'Dep TCCI'!$I$3:$AC$117,20,FALSE)</f>
        <v>12703.166666666666</v>
      </c>
      <c r="Q84" s="44">
        <f t="shared" ca="1" si="1"/>
        <v>33748.833333333336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cec5505-8291-4cd2-be3c-852f3a7697ca}" enabled="1" method="Standard" siteId="{8c642d1d-d709-47b0-ab10-080af10798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 TCCI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Fletcher (TCI)</cp:lastModifiedBy>
  <cp:revision/>
  <dcterms:created xsi:type="dcterms:W3CDTF">2026-02-18T16:18:55Z</dcterms:created>
  <dcterms:modified xsi:type="dcterms:W3CDTF">2026-03-25T21:49:39Z</dcterms:modified>
  <cp:category/>
  <cp:contentStatus/>
</cp:coreProperties>
</file>